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CF695D6-C95B-4780-A96C-E58B4D7E3BD0}" xr6:coauthVersionLast="47" xr6:coauthVersionMax="47" xr10:uidLastSave="{00000000-0000-0000-0000-000000000000}"/>
  <bookViews>
    <workbookView xWindow="-108" yWindow="-108" windowWidth="23256" windowHeight="12576" tabRatio="500" activeTab="6" xr2:uid="{00000000-000D-0000-FFFF-FFFF00000000}"/>
  </bookViews>
  <sheets>
    <sheet name="Data" sheetId="4" r:id="rId1"/>
    <sheet name="Customers" sheetId="5" r:id="rId2"/>
    <sheet name="Timestamp" sheetId="9" r:id="rId3"/>
    <sheet name="Analysis" sheetId="6" r:id="rId4"/>
    <sheet name="Monthly_Trend" sheetId="7" r:id="rId5"/>
    <sheet name="WhatIf" sheetId="8" r:id="rId6"/>
    <sheet name="Dashboard" sheetId="2" r:id="rId7"/>
    <sheet name="Lists_Filter" sheetId="10" r:id="rId8"/>
    <sheet name="Report" sheetId="3" r:id="rId9"/>
  </sheets>
  <definedNames>
    <definedName name="_xlnm._FilterDatabase" localSheetId="0" hidden="1">Data!$A$1:$T$251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7" i="10" l="1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D40" i="10"/>
  <c r="C40" i="10"/>
  <c r="C39" i="10"/>
  <c r="D39" i="10" s="1"/>
  <c r="C38" i="10"/>
  <c r="D38" i="10" s="1"/>
  <c r="D37" i="10"/>
  <c r="C37" i="10"/>
  <c r="C36" i="10"/>
  <c r="D36" i="10" s="1"/>
  <c r="D35" i="10"/>
  <c r="C35" i="10"/>
  <c r="C34" i="10"/>
  <c r="D34" i="10" s="1"/>
  <c r="C33" i="10"/>
  <c r="D33" i="10" s="1"/>
  <c r="D32" i="10"/>
  <c r="C32" i="10"/>
  <c r="C31" i="10"/>
  <c r="D31" i="10" s="1"/>
  <c r="C30" i="10"/>
  <c r="D30" i="10" s="1"/>
  <c r="D29" i="10"/>
  <c r="C29" i="10"/>
  <c r="C28" i="10"/>
  <c r="D28" i="10" s="1"/>
  <c r="D27" i="10"/>
  <c r="C27" i="10"/>
  <c r="C26" i="10"/>
  <c r="D26" i="10" s="1"/>
  <c r="C25" i="10"/>
  <c r="D25" i="10" s="1"/>
  <c r="D24" i="10"/>
  <c r="C24" i="10"/>
  <c r="C23" i="10"/>
  <c r="D23" i="10" s="1"/>
  <c r="C22" i="10"/>
  <c r="D22" i="10" s="1"/>
  <c r="D21" i="10"/>
  <c r="C21" i="10"/>
  <c r="C20" i="10"/>
  <c r="D20" i="10" s="1"/>
  <c r="D19" i="10"/>
  <c r="C19" i="10"/>
  <c r="C18" i="10"/>
  <c r="D18" i="10" s="1"/>
  <c r="C17" i="10"/>
  <c r="D17" i="10" s="1"/>
  <c r="D16" i="10"/>
  <c r="C16" i="10"/>
  <c r="C15" i="10"/>
  <c r="D15" i="10" s="1"/>
  <c r="C14" i="10"/>
  <c r="D14" i="10" s="1"/>
  <c r="D13" i="10"/>
  <c r="C13" i="10"/>
  <c r="C12" i="10"/>
  <c r="D12" i="10" s="1"/>
  <c r="D11" i="10"/>
  <c r="C11" i="10"/>
  <c r="D10" i="10"/>
  <c r="C10" i="10"/>
  <c r="C9" i="10"/>
  <c r="D9" i="10" s="1"/>
  <c r="C8" i="10"/>
  <c r="D8" i="10" s="1"/>
  <c r="C7" i="10"/>
  <c r="D7" i="10" s="1"/>
  <c r="J6" i="10"/>
  <c r="C6" i="10"/>
  <c r="D6" i="10" s="1"/>
  <c r="C5" i="10"/>
  <c r="D5" i="10" s="1"/>
  <c r="D4" i="10"/>
  <c r="C4" i="10"/>
  <c r="B16" i="9"/>
  <c r="B15" i="9"/>
  <c r="B14" i="9"/>
  <c r="B13" i="9"/>
  <c r="B12" i="9"/>
  <c r="B6" i="9"/>
  <c r="B8" i="9" s="1"/>
  <c r="B5" i="9"/>
  <c r="B4" i="9"/>
  <c r="A5" i="7"/>
  <c r="B5" i="7" s="1"/>
  <c r="B44" i="6"/>
  <c r="B43" i="6"/>
  <c r="B42" i="6"/>
  <c r="B38" i="6"/>
  <c r="B37" i="6"/>
  <c r="B36" i="6"/>
  <c r="B35" i="6"/>
  <c r="B31" i="6"/>
  <c r="B30" i="6"/>
  <c r="B29" i="6"/>
  <c r="B28" i="6"/>
  <c r="B27" i="6"/>
  <c r="B23" i="6"/>
  <c r="B22" i="6"/>
  <c r="B21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P55" i="5"/>
  <c r="O55" i="5"/>
  <c r="N55" i="5"/>
  <c r="M55" i="5"/>
  <c r="K55" i="5"/>
  <c r="L55" i="5" s="1"/>
  <c r="E55" i="5"/>
  <c r="D55" i="5"/>
  <c r="B55" i="5"/>
  <c r="P54" i="5"/>
  <c r="O54" i="5"/>
  <c r="N54" i="5"/>
  <c r="M54" i="5"/>
  <c r="K54" i="5"/>
  <c r="L54" i="5" s="1"/>
  <c r="E54" i="5"/>
  <c r="D54" i="5"/>
  <c r="B54" i="5"/>
  <c r="P53" i="5"/>
  <c r="O53" i="5"/>
  <c r="N53" i="5"/>
  <c r="M53" i="5"/>
  <c r="K53" i="5"/>
  <c r="L53" i="5" s="1"/>
  <c r="E53" i="5"/>
  <c r="D53" i="5"/>
  <c r="B53" i="5"/>
  <c r="P52" i="5"/>
  <c r="O52" i="5"/>
  <c r="N52" i="5"/>
  <c r="M52" i="5"/>
  <c r="K52" i="5"/>
  <c r="L52" i="5" s="1"/>
  <c r="E52" i="5"/>
  <c r="D52" i="5"/>
  <c r="B52" i="5"/>
  <c r="P51" i="5"/>
  <c r="O51" i="5"/>
  <c r="N51" i="5"/>
  <c r="M51" i="5"/>
  <c r="L51" i="5"/>
  <c r="K51" i="5"/>
  <c r="E51" i="5"/>
  <c r="D51" i="5"/>
  <c r="B51" i="5"/>
  <c r="P50" i="5"/>
  <c r="O50" i="5"/>
  <c r="N50" i="5"/>
  <c r="M50" i="5"/>
  <c r="K50" i="5"/>
  <c r="L50" i="5" s="1"/>
  <c r="E50" i="5"/>
  <c r="D50" i="5"/>
  <c r="B50" i="5"/>
  <c r="P49" i="5"/>
  <c r="O49" i="5"/>
  <c r="N49" i="5"/>
  <c r="M49" i="5"/>
  <c r="K49" i="5"/>
  <c r="L49" i="5" s="1"/>
  <c r="E49" i="5"/>
  <c r="D49" i="5"/>
  <c r="B49" i="5"/>
  <c r="P48" i="5"/>
  <c r="O48" i="5"/>
  <c r="N48" i="5"/>
  <c r="M48" i="5"/>
  <c r="K48" i="5"/>
  <c r="L48" i="5" s="1"/>
  <c r="E48" i="5"/>
  <c r="D48" i="5"/>
  <c r="B48" i="5"/>
  <c r="P47" i="5"/>
  <c r="O47" i="5"/>
  <c r="N47" i="5"/>
  <c r="M47" i="5"/>
  <c r="K47" i="5"/>
  <c r="L47" i="5" s="1"/>
  <c r="E47" i="5"/>
  <c r="D47" i="5"/>
  <c r="B47" i="5"/>
  <c r="P46" i="5"/>
  <c r="O46" i="5"/>
  <c r="N46" i="5"/>
  <c r="M46" i="5"/>
  <c r="L46" i="5"/>
  <c r="K46" i="5"/>
  <c r="E46" i="5"/>
  <c r="D46" i="5"/>
  <c r="B46" i="5"/>
  <c r="P45" i="5"/>
  <c r="O45" i="5"/>
  <c r="N45" i="5"/>
  <c r="M45" i="5"/>
  <c r="K45" i="5"/>
  <c r="L45" i="5" s="1"/>
  <c r="E45" i="5"/>
  <c r="D45" i="5"/>
  <c r="B45" i="5"/>
  <c r="P44" i="5"/>
  <c r="O44" i="5"/>
  <c r="N44" i="5"/>
  <c r="M44" i="5"/>
  <c r="K44" i="5"/>
  <c r="L44" i="5" s="1"/>
  <c r="E44" i="5"/>
  <c r="D44" i="5"/>
  <c r="B44" i="5"/>
  <c r="P43" i="5"/>
  <c r="O43" i="5"/>
  <c r="N43" i="5"/>
  <c r="M43" i="5"/>
  <c r="K43" i="5"/>
  <c r="L43" i="5" s="1"/>
  <c r="E43" i="5"/>
  <c r="D43" i="5"/>
  <c r="B43" i="5"/>
  <c r="P42" i="5"/>
  <c r="O42" i="5"/>
  <c r="N42" i="5"/>
  <c r="M42" i="5"/>
  <c r="K42" i="5"/>
  <c r="L42" i="5" s="1"/>
  <c r="E42" i="5"/>
  <c r="D42" i="5"/>
  <c r="B42" i="5"/>
  <c r="P41" i="5"/>
  <c r="O41" i="5"/>
  <c r="N41" i="5"/>
  <c r="M41" i="5"/>
  <c r="K41" i="5"/>
  <c r="L41" i="5" s="1"/>
  <c r="E41" i="5"/>
  <c r="D41" i="5"/>
  <c r="B41" i="5"/>
  <c r="P40" i="5"/>
  <c r="O40" i="5"/>
  <c r="N40" i="5"/>
  <c r="M40" i="5"/>
  <c r="K40" i="5"/>
  <c r="L40" i="5" s="1"/>
  <c r="E40" i="5"/>
  <c r="D40" i="5"/>
  <c r="B40" i="5"/>
  <c r="P39" i="5"/>
  <c r="O39" i="5"/>
  <c r="N39" i="5"/>
  <c r="M39" i="5"/>
  <c r="K39" i="5"/>
  <c r="L39" i="5" s="1"/>
  <c r="E39" i="5"/>
  <c r="D39" i="5"/>
  <c r="B39" i="5"/>
  <c r="P38" i="5"/>
  <c r="O38" i="5"/>
  <c r="N38" i="5"/>
  <c r="M38" i="5"/>
  <c r="L38" i="5"/>
  <c r="K38" i="5"/>
  <c r="E38" i="5"/>
  <c r="D38" i="5"/>
  <c r="B38" i="5"/>
  <c r="P37" i="5"/>
  <c r="O37" i="5"/>
  <c r="N37" i="5"/>
  <c r="M37" i="5"/>
  <c r="K37" i="5"/>
  <c r="L37" i="5" s="1"/>
  <c r="E37" i="5"/>
  <c r="D37" i="5"/>
  <c r="B37" i="5"/>
  <c r="P36" i="5"/>
  <c r="O36" i="5"/>
  <c r="N36" i="5"/>
  <c r="M36" i="5"/>
  <c r="K36" i="5"/>
  <c r="L36" i="5" s="1"/>
  <c r="E36" i="5"/>
  <c r="D36" i="5"/>
  <c r="B36" i="5"/>
  <c r="P35" i="5"/>
  <c r="O35" i="5"/>
  <c r="N35" i="5"/>
  <c r="M35" i="5"/>
  <c r="L35" i="5"/>
  <c r="K35" i="5"/>
  <c r="E35" i="5"/>
  <c r="D35" i="5"/>
  <c r="B35" i="5"/>
  <c r="P34" i="5"/>
  <c r="O34" i="5"/>
  <c r="N34" i="5"/>
  <c r="M34" i="5"/>
  <c r="K34" i="5"/>
  <c r="L34" i="5" s="1"/>
  <c r="E34" i="5"/>
  <c r="D34" i="5"/>
  <c r="B34" i="5"/>
  <c r="P33" i="5"/>
  <c r="O33" i="5"/>
  <c r="N33" i="5"/>
  <c r="M33" i="5"/>
  <c r="K33" i="5"/>
  <c r="L33" i="5" s="1"/>
  <c r="E33" i="5"/>
  <c r="D33" i="5"/>
  <c r="B33" i="5"/>
  <c r="P32" i="5"/>
  <c r="O32" i="5"/>
  <c r="N32" i="5"/>
  <c r="M32" i="5"/>
  <c r="K32" i="5"/>
  <c r="L32" i="5" s="1"/>
  <c r="E32" i="5"/>
  <c r="D32" i="5"/>
  <c r="B32" i="5"/>
  <c r="P31" i="5"/>
  <c r="O31" i="5"/>
  <c r="N31" i="5"/>
  <c r="M31" i="5"/>
  <c r="K31" i="5"/>
  <c r="L31" i="5" s="1"/>
  <c r="E31" i="5"/>
  <c r="D31" i="5"/>
  <c r="B31" i="5"/>
  <c r="P30" i="5"/>
  <c r="O30" i="5"/>
  <c r="N30" i="5"/>
  <c r="M30" i="5"/>
  <c r="K30" i="5"/>
  <c r="L30" i="5" s="1"/>
  <c r="E30" i="5"/>
  <c r="D30" i="5"/>
  <c r="B30" i="5"/>
  <c r="P29" i="5"/>
  <c r="O29" i="5"/>
  <c r="N29" i="5"/>
  <c r="M29" i="5"/>
  <c r="K29" i="5"/>
  <c r="L29" i="5" s="1"/>
  <c r="E29" i="5"/>
  <c r="D29" i="5"/>
  <c r="B29" i="5"/>
  <c r="P28" i="5"/>
  <c r="O28" i="5"/>
  <c r="N28" i="5"/>
  <c r="M28" i="5"/>
  <c r="K28" i="5"/>
  <c r="L28" i="5" s="1"/>
  <c r="E28" i="5"/>
  <c r="D28" i="5"/>
  <c r="B28" i="5"/>
  <c r="P27" i="5"/>
  <c r="O27" i="5"/>
  <c r="N27" i="5"/>
  <c r="M27" i="5"/>
  <c r="L27" i="5"/>
  <c r="K27" i="5"/>
  <c r="E27" i="5"/>
  <c r="D27" i="5"/>
  <c r="B27" i="5"/>
  <c r="P26" i="5"/>
  <c r="O26" i="5"/>
  <c r="N26" i="5"/>
  <c r="M26" i="5"/>
  <c r="K26" i="5"/>
  <c r="L26" i="5" s="1"/>
  <c r="E26" i="5"/>
  <c r="D26" i="5"/>
  <c r="B26" i="5"/>
  <c r="P25" i="5"/>
  <c r="O25" i="5"/>
  <c r="N25" i="5"/>
  <c r="M25" i="5"/>
  <c r="K25" i="5"/>
  <c r="L25" i="5" s="1"/>
  <c r="E25" i="5"/>
  <c r="D25" i="5"/>
  <c r="B25" i="5"/>
  <c r="P24" i="5"/>
  <c r="O24" i="5"/>
  <c r="N24" i="5"/>
  <c r="M24" i="5"/>
  <c r="K24" i="5"/>
  <c r="L24" i="5" s="1"/>
  <c r="E24" i="5"/>
  <c r="D24" i="5"/>
  <c r="B24" i="5"/>
  <c r="P23" i="5"/>
  <c r="O23" i="5"/>
  <c r="N23" i="5"/>
  <c r="M23" i="5"/>
  <c r="K23" i="5"/>
  <c r="L23" i="5" s="1"/>
  <c r="E23" i="5"/>
  <c r="D23" i="5"/>
  <c r="B23" i="5"/>
  <c r="P22" i="5"/>
  <c r="O22" i="5"/>
  <c r="N22" i="5"/>
  <c r="M22" i="5"/>
  <c r="K22" i="5"/>
  <c r="L22" i="5" s="1"/>
  <c r="E22" i="5"/>
  <c r="D22" i="5"/>
  <c r="B22" i="5"/>
  <c r="P21" i="5"/>
  <c r="O21" i="5"/>
  <c r="N21" i="5"/>
  <c r="M21" i="5"/>
  <c r="K21" i="5"/>
  <c r="L21" i="5" s="1"/>
  <c r="E21" i="5"/>
  <c r="D21" i="5"/>
  <c r="B21" i="5"/>
  <c r="P20" i="5"/>
  <c r="O20" i="5"/>
  <c r="N20" i="5"/>
  <c r="M20" i="5"/>
  <c r="K20" i="5"/>
  <c r="L20" i="5" s="1"/>
  <c r="E20" i="5"/>
  <c r="D20" i="5"/>
  <c r="B20" i="5"/>
  <c r="P19" i="5"/>
  <c r="O19" i="5"/>
  <c r="N19" i="5"/>
  <c r="M19" i="5"/>
  <c r="L19" i="5"/>
  <c r="K19" i="5"/>
  <c r="E19" i="5"/>
  <c r="D19" i="5"/>
  <c r="B19" i="5"/>
  <c r="P18" i="5"/>
  <c r="O18" i="5"/>
  <c r="N18" i="5"/>
  <c r="M18" i="5"/>
  <c r="K18" i="5"/>
  <c r="L18" i="5" s="1"/>
  <c r="E18" i="5"/>
  <c r="D18" i="5"/>
  <c r="B18" i="5"/>
  <c r="P17" i="5"/>
  <c r="O17" i="5"/>
  <c r="N17" i="5"/>
  <c r="M17" i="5"/>
  <c r="K17" i="5"/>
  <c r="L17" i="5" s="1"/>
  <c r="E17" i="5"/>
  <c r="D17" i="5"/>
  <c r="B17" i="5"/>
  <c r="P16" i="5"/>
  <c r="O16" i="5"/>
  <c r="N16" i="5"/>
  <c r="M16" i="5"/>
  <c r="K16" i="5"/>
  <c r="L16" i="5" s="1"/>
  <c r="E16" i="5"/>
  <c r="D16" i="5"/>
  <c r="B16" i="5"/>
  <c r="P15" i="5"/>
  <c r="O15" i="5"/>
  <c r="N15" i="5"/>
  <c r="M15" i="5"/>
  <c r="L15" i="5"/>
  <c r="K15" i="5"/>
  <c r="E15" i="5"/>
  <c r="D15" i="5"/>
  <c r="B15" i="5"/>
  <c r="P14" i="5"/>
  <c r="O14" i="5"/>
  <c r="N14" i="5"/>
  <c r="M14" i="5"/>
  <c r="K14" i="5"/>
  <c r="L14" i="5" s="1"/>
  <c r="E14" i="5"/>
  <c r="D14" i="5"/>
  <c r="B14" i="5"/>
  <c r="P13" i="5"/>
  <c r="O13" i="5"/>
  <c r="N13" i="5"/>
  <c r="M13" i="5"/>
  <c r="K13" i="5"/>
  <c r="L13" i="5" s="1"/>
  <c r="E13" i="5"/>
  <c r="D13" i="5"/>
  <c r="B13" i="5"/>
  <c r="P12" i="5"/>
  <c r="O12" i="5"/>
  <c r="N12" i="5"/>
  <c r="M12" i="5"/>
  <c r="K12" i="5"/>
  <c r="L12" i="5" s="1"/>
  <c r="E12" i="5"/>
  <c r="D12" i="5"/>
  <c r="B12" i="5"/>
  <c r="P11" i="5"/>
  <c r="O11" i="5"/>
  <c r="N11" i="5"/>
  <c r="M11" i="5"/>
  <c r="L11" i="5"/>
  <c r="K11" i="5"/>
  <c r="E11" i="5"/>
  <c r="D11" i="5"/>
  <c r="B11" i="5"/>
  <c r="P10" i="5"/>
  <c r="O10" i="5"/>
  <c r="N10" i="5"/>
  <c r="M10" i="5"/>
  <c r="K10" i="5"/>
  <c r="L10" i="5" s="1"/>
  <c r="E10" i="5"/>
  <c r="D10" i="5"/>
  <c r="B10" i="5"/>
  <c r="P9" i="5"/>
  <c r="O9" i="5"/>
  <c r="N9" i="5"/>
  <c r="M9" i="5"/>
  <c r="K9" i="5"/>
  <c r="L9" i="5" s="1"/>
  <c r="E9" i="5"/>
  <c r="D9" i="5"/>
  <c r="B9" i="5"/>
  <c r="P8" i="5"/>
  <c r="O8" i="5"/>
  <c r="N8" i="5"/>
  <c r="M8" i="5"/>
  <c r="K8" i="5"/>
  <c r="L8" i="5" s="1"/>
  <c r="E8" i="5"/>
  <c r="D8" i="5"/>
  <c r="B8" i="5"/>
  <c r="P7" i="5"/>
  <c r="O7" i="5"/>
  <c r="N7" i="5"/>
  <c r="M7" i="5"/>
  <c r="L7" i="5"/>
  <c r="K7" i="5"/>
  <c r="E7" i="5"/>
  <c r="D7" i="5"/>
  <c r="B7" i="5"/>
  <c r="P6" i="5"/>
  <c r="O6" i="5"/>
  <c r="N6" i="5"/>
  <c r="M6" i="5"/>
  <c r="K6" i="5"/>
  <c r="L6" i="5" s="1"/>
  <c r="F6" i="5"/>
  <c r="E6" i="5"/>
  <c r="D6" i="5"/>
  <c r="B8" i="2" s="1"/>
  <c r="D8" i="2" s="1"/>
  <c r="B6" i="5"/>
  <c r="T251" i="4"/>
  <c r="S251" i="4"/>
  <c r="R251" i="4"/>
  <c r="Q251" i="4"/>
  <c r="P251" i="4"/>
  <c r="O251" i="4"/>
  <c r="N251" i="4"/>
  <c r="T250" i="4"/>
  <c r="S250" i="4"/>
  <c r="R250" i="4"/>
  <c r="Q250" i="4"/>
  <c r="P250" i="4"/>
  <c r="O250" i="4"/>
  <c r="N250" i="4"/>
  <c r="T249" i="4"/>
  <c r="S249" i="4"/>
  <c r="R249" i="4"/>
  <c r="Q249" i="4"/>
  <c r="P249" i="4"/>
  <c r="O249" i="4"/>
  <c r="N249" i="4"/>
  <c r="T248" i="4"/>
  <c r="S248" i="4"/>
  <c r="R248" i="4"/>
  <c r="Q248" i="4"/>
  <c r="P248" i="4"/>
  <c r="O248" i="4"/>
  <c r="N248" i="4"/>
  <c r="T247" i="4"/>
  <c r="S247" i="4"/>
  <c r="R247" i="4"/>
  <c r="Q247" i="4"/>
  <c r="P247" i="4"/>
  <c r="O247" i="4"/>
  <c r="N247" i="4"/>
  <c r="T246" i="4"/>
  <c r="S246" i="4"/>
  <c r="R246" i="4"/>
  <c r="Q246" i="4"/>
  <c r="P246" i="4"/>
  <c r="O246" i="4"/>
  <c r="N246" i="4"/>
  <c r="T245" i="4"/>
  <c r="S245" i="4"/>
  <c r="R245" i="4"/>
  <c r="Q245" i="4"/>
  <c r="P245" i="4"/>
  <c r="O245" i="4"/>
  <c r="N245" i="4"/>
  <c r="T244" i="4"/>
  <c r="S244" i="4"/>
  <c r="R244" i="4"/>
  <c r="Q244" i="4"/>
  <c r="P244" i="4"/>
  <c r="O244" i="4"/>
  <c r="N244" i="4"/>
  <c r="T243" i="4"/>
  <c r="S243" i="4"/>
  <c r="R243" i="4"/>
  <c r="Q243" i="4"/>
  <c r="P243" i="4"/>
  <c r="O243" i="4"/>
  <c r="N243" i="4"/>
  <c r="T242" i="4"/>
  <c r="S242" i="4"/>
  <c r="R242" i="4"/>
  <c r="Q242" i="4"/>
  <c r="P242" i="4"/>
  <c r="O242" i="4"/>
  <c r="N242" i="4"/>
  <c r="T241" i="4"/>
  <c r="S241" i="4"/>
  <c r="R241" i="4"/>
  <c r="Q241" i="4"/>
  <c r="P241" i="4"/>
  <c r="O241" i="4"/>
  <c r="N241" i="4"/>
  <c r="T240" i="4"/>
  <c r="S240" i="4"/>
  <c r="C6" i="5" s="1"/>
  <c r="R240" i="4"/>
  <c r="Q240" i="4"/>
  <c r="P240" i="4"/>
  <c r="O240" i="4"/>
  <c r="N240" i="4"/>
  <c r="T239" i="4"/>
  <c r="S239" i="4"/>
  <c r="R239" i="4"/>
  <c r="Q239" i="4"/>
  <c r="P239" i="4"/>
  <c r="O239" i="4"/>
  <c r="N239" i="4"/>
  <c r="T238" i="4"/>
  <c r="S238" i="4"/>
  <c r="R238" i="4"/>
  <c r="Q238" i="4"/>
  <c r="P238" i="4"/>
  <c r="O238" i="4"/>
  <c r="N238" i="4"/>
  <c r="T237" i="4"/>
  <c r="S237" i="4"/>
  <c r="R237" i="4"/>
  <c r="Q237" i="4"/>
  <c r="P237" i="4"/>
  <c r="O237" i="4"/>
  <c r="N237" i="4"/>
  <c r="T236" i="4"/>
  <c r="S236" i="4"/>
  <c r="R236" i="4"/>
  <c r="Q236" i="4"/>
  <c r="P236" i="4"/>
  <c r="O236" i="4"/>
  <c r="N236" i="4"/>
  <c r="T235" i="4"/>
  <c r="S235" i="4"/>
  <c r="R235" i="4"/>
  <c r="Q235" i="4"/>
  <c r="P235" i="4"/>
  <c r="O235" i="4"/>
  <c r="N235" i="4"/>
  <c r="T234" i="4"/>
  <c r="S234" i="4"/>
  <c r="R234" i="4"/>
  <c r="Q234" i="4"/>
  <c r="P234" i="4"/>
  <c r="O234" i="4"/>
  <c r="N234" i="4"/>
  <c r="T233" i="4"/>
  <c r="S233" i="4"/>
  <c r="R233" i="4"/>
  <c r="Q233" i="4"/>
  <c r="P233" i="4"/>
  <c r="O233" i="4"/>
  <c r="N233" i="4"/>
  <c r="T232" i="4"/>
  <c r="S232" i="4"/>
  <c r="R232" i="4"/>
  <c r="Q232" i="4"/>
  <c r="P232" i="4"/>
  <c r="O232" i="4"/>
  <c r="N232" i="4"/>
  <c r="T231" i="4"/>
  <c r="S231" i="4"/>
  <c r="R231" i="4"/>
  <c r="Q231" i="4"/>
  <c r="P231" i="4"/>
  <c r="O231" i="4"/>
  <c r="N231" i="4"/>
  <c r="T230" i="4"/>
  <c r="S230" i="4"/>
  <c r="R230" i="4"/>
  <c r="Q230" i="4"/>
  <c r="P230" i="4"/>
  <c r="O230" i="4"/>
  <c r="N230" i="4"/>
  <c r="T229" i="4"/>
  <c r="S229" i="4"/>
  <c r="R229" i="4"/>
  <c r="Q229" i="4"/>
  <c r="P229" i="4"/>
  <c r="O229" i="4"/>
  <c r="N229" i="4"/>
  <c r="T228" i="4"/>
  <c r="S228" i="4"/>
  <c r="R228" i="4"/>
  <c r="Q228" i="4"/>
  <c r="P228" i="4"/>
  <c r="O228" i="4"/>
  <c r="N228" i="4"/>
  <c r="T227" i="4"/>
  <c r="S227" i="4"/>
  <c r="R227" i="4"/>
  <c r="Q227" i="4"/>
  <c r="P227" i="4"/>
  <c r="O227" i="4"/>
  <c r="N227" i="4"/>
  <c r="T226" i="4"/>
  <c r="S226" i="4"/>
  <c r="R226" i="4"/>
  <c r="Q226" i="4"/>
  <c r="P226" i="4"/>
  <c r="O226" i="4"/>
  <c r="N226" i="4"/>
  <c r="T225" i="4"/>
  <c r="S225" i="4"/>
  <c r="R225" i="4"/>
  <c r="Q225" i="4"/>
  <c r="P225" i="4"/>
  <c r="O225" i="4"/>
  <c r="N225" i="4"/>
  <c r="T224" i="4"/>
  <c r="S224" i="4"/>
  <c r="R224" i="4"/>
  <c r="Q224" i="4"/>
  <c r="P224" i="4"/>
  <c r="O224" i="4"/>
  <c r="N224" i="4"/>
  <c r="T223" i="4"/>
  <c r="S223" i="4"/>
  <c r="R223" i="4"/>
  <c r="Q223" i="4"/>
  <c r="P223" i="4"/>
  <c r="O223" i="4"/>
  <c r="N223" i="4"/>
  <c r="T222" i="4"/>
  <c r="S222" i="4"/>
  <c r="R222" i="4"/>
  <c r="Q222" i="4"/>
  <c r="P222" i="4"/>
  <c r="O222" i="4"/>
  <c r="N222" i="4"/>
  <c r="T221" i="4"/>
  <c r="S221" i="4"/>
  <c r="R221" i="4"/>
  <c r="Q221" i="4"/>
  <c r="P221" i="4"/>
  <c r="O221" i="4"/>
  <c r="N221" i="4"/>
  <c r="T220" i="4"/>
  <c r="S220" i="4"/>
  <c r="R220" i="4"/>
  <c r="Q220" i="4"/>
  <c r="P220" i="4"/>
  <c r="O220" i="4"/>
  <c r="N220" i="4"/>
  <c r="T219" i="4"/>
  <c r="S219" i="4"/>
  <c r="R219" i="4"/>
  <c r="Q219" i="4"/>
  <c r="P219" i="4"/>
  <c r="O219" i="4"/>
  <c r="N219" i="4"/>
  <c r="T218" i="4"/>
  <c r="S218" i="4"/>
  <c r="R218" i="4"/>
  <c r="Q218" i="4"/>
  <c r="P218" i="4"/>
  <c r="O218" i="4"/>
  <c r="N218" i="4"/>
  <c r="T217" i="4"/>
  <c r="S217" i="4"/>
  <c r="R217" i="4"/>
  <c r="Q217" i="4"/>
  <c r="P217" i="4"/>
  <c r="O217" i="4"/>
  <c r="N217" i="4"/>
  <c r="T216" i="4"/>
  <c r="S216" i="4"/>
  <c r="R216" i="4"/>
  <c r="Q216" i="4"/>
  <c r="P216" i="4"/>
  <c r="O216" i="4"/>
  <c r="N216" i="4"/>
  <c r="T215" i="4"/>
  <c r="S215" i="4"/>
  <c r="R215" i="4"/>
  <c r="Q215" i="4"/>
  <c r="P215" i="4"/>
  <c r="O215" i="4"/>
  <c r="N215" i="4"/>
  <c r="T214" i="4"/>
  <c r="S214" i="4"/>
  <c r="R214" i="4"/>
  <c r="Q214" i="4"/>
  <c r="P214" i="4"/>
  <c r="O214" i="4"/>
  <c r="N214" i="4"/>
  <c r="T213" i="4"/>
  <c r="S213" i="4"/>
  <c r="R213" i="4"/>
  <c r="Q213" i="4"/>
  <c r="P213" i="4"/>
  <c r="O213" i="4"/>
  <c r="N213" i="4"/>
  <c r="T212" i="4"/>
  <c r="S212" i="4"/>
  <c r="R212" i="4"/>
  <c r="Q212" i="4"/>
  <c r="P212" i="4"/>
  <c r="O212" i="4"/>
  <c r="N212" i="4"/>
  <c r="T211" i="4"/>
  <c r="S211" i="4"/>
  <c r="R211" i="4"/>
  <c r="Q211" i="4"/>
  <c r="P211" i="4"/>
  <c r="O211" i="4"/>
  <c r="N211" i="4"/>
  <c r="T210" i="4"/>
  <c r="S210" i="4"/>
  <c r="R210" i="4"/>
  <c r="Q210" i="4"/>
  <c r="P210" i="4"/>
  <c r="O210" i="4"/>
  <c r="N210" i="4"/>
  <c r="T209" i="4"/>
  <c r="S209" i="4"/>
  <c r="R209" i="4"/>
  <c r="Q209" i="4"/>
  <c r="P209" i="4"/>
  <c r="O209" i="4"/>
  <c r="N209" i="4"/>
  <c r="T208" i="4"/>
  <c r="S208" i="4"/>
  <c r="R208" i="4"/>
  <c r="Q208" i="4"/>
  <c r="P208" i="4"/>
  <c r="O208" i="4"/>
  <c r="N208" i="4"/>
  <c r="T207" i="4"/>
  <c r="S207" i="4"/>
  <c r="R207" i="4"/>
  <c r="Q207" i="4"/>
  <c r="P207" i="4"/>
  <c r="O207" i="4"/>
  <c r="N207" i="4"/>
  <c r="T206" i="4"/>
  <c r="S206" i="4"/>
  <c r="R206" i="4"/>
  <c r="Q206" i="4"/>
  <c r="P206" i="4"/>
  <c r="O206" i="4"/>
  <c r="N206" i="4"/>
  <c r="T205" i="4"/>
  <c r="S205" i="4"/>
  <c r="R205" i="4"/>
  <c r="Q205" i="4"/>
  <c r="P205" i="4"/>
  <c r="O205" i="4"/>
  <c r="N205" i="4"/>
  <c r="T204" i="4"/>
  <c r="S204" i="4"/>
  <c r="R204" i="4"/>
  <c r="Q204" i="4"/>
  <c r="P204" i="4"/>
  <c r="O204" i="4"/>
  <c r="N204" i="4"/>
  <c r="T203" i="4"/>
  <c r="S203" i="4"/>
  <c r="R203" i="4"/>
  <c r="Q203" i="4"/>
  <c r="P203" i="4"/>
  <c r="O203" i="4"/>
  <c r="N203" i="4"/>
  <c r="T202" i="4"/>
  <c r="S202" i="4"/>
  <c r="R202" i="4"/>
  <c r="Q202" i="4"/>
  <c r="P202" i="4"/>
  <c r="O202" i="4"/>
  <c r="N202" i="4"/>
  <c r="T201" i="4"/>
  <c r="S201" i="4"/>
  <c r="R201" i="4"/>
  <c r="Q201" i="4"/>
  <c r="P201" i="4"/>
  <c r="O201" i="4"/>
  <c r="N201" i="4"/>
  <c r="T200" i="4"/>
  <c r="S200" i="4"/>
  <c r="R200" i="4"/>
  <c r="Q200" i="4"/>
  <c r="P200" i="4"/>
  <c r="O200" i="4"/>
  <c r="N200" i="4"/>
  <c r="T199" i="4"/>
  <c r="S199" i="4"/>
  <c r="R199" i="4"/>
  <c r="Q199" i="4"/>
  <c r="P199" i="4"/>
  <c r="O199" i="4"/>
  <c r="N199" i="4"/>
  <c r="T198" i="4"/>
  <c r="S198" i="4"/>
  <c r="R198" i="4"/>
  <c r="Q198" i="4"/>
  <c r="P198" i="4"/>
  <c r="O198" i="4"/>
  <c r="N198" i="4"/>
  <c r="T197" i="4"/>
  <c r="S197" i="4"/>
  <c r="R197" i="4"/>
  <c r="Q197" i="4"/>
  <c r="P197" i="4"/>
  <c r="O197" i="4"/>
  <c r="N197" i="4"/>
  <c r="T196" i="4"/>
  <c r="S196" i="4"/>
  <c r="R196" i="4"/>
  <c r="Q196" i="4"/>
  <c r="P196" i="4"/>
  <c r="O196" i="4"/>
  <c r="N196" i="4"/>
  <c r="T195" i="4"/>
  <c r="S195" i="4"/>
  <c r="R195" i="4"/>
  <c r="Q195" i="4"/>
  <c r="P195" i="4"/>
  <c r="O195" i="4"/>
  <c r="N195" i="4"/>
  <c r="T194" i="4"/>
  <c r="S194" i="4"/>
  <c r="R194" i="4"/>
  <c r="Q194" i="4"/>
  <c r="P194" i="4"/>
  <c r="O194" i="4"/>
  <c r="N194" i="4"/>
  <c r="T193" i="4"/>
  <c r="S193" i="4"/>
  <c r="R193" i="4"/>
  <c r="Q193" i="4"/>
  <c r="P193" i="4"/>
  <c r="O193" i="4"/>
  <c r="N193" i="4"/>
  <c r="T192" i="4"/>
  <c r="S192" i="4"/>
  <c r="R192" i="4"/>
  <c r="Q192" i="4"/>
  <c r="P192" i="4"/>
  <c r="O192" i="4"/>
  <c r="N192" i="4"/>
  <c r="T191" i="4"/>
  <c r="S191" i="4"/>
  <c r="R191" i="4"/>
  <c r="Q191" i="4"/>
  <c r="P191" i="4"/>
  <c r="O191" i="4"/>
  <c r="N191" i="4"/>
  <c r="T190" i="4"/>
  <c r="S190" i="4"/>
  <c r="R190" i="4"/>
  <c r="Q190" i="4"/>
  <c r="P190" i="4"/>
  <c r="O190" i="4"/>
  <c r="N190" i="4"/>
  <c r="T189" i="4"/>
  <c r="S189" i="4"/>
  <c r="R189" i="4"/>
  <c r="Q189" i="4"/>
  <c r="P189" i="4"/>
  <c r="O189" i="4"/>
  <c r="N189" i="4"/>
  <c r="T188" i="4"/>
  <c r="S188" i="4"/>
  <c r="R188" i="4"/>
  <c r="Q188" i="4"/>
  <c r="P188" i="4"/>
  <c r="O188" i="4"/>
  <c r="N188" i="4"/>
  <c r="T187" i="4"/>
  <c r="S187" i="4"/>
  <c r="R187" i="4"/>
  <c r="Q187" i="4"/>
  <c r="P187" i="4"/>
  <c r="O187" i="4"/>
  <c r="N187" i="4"/>
  <c r="T186" i="4"/>
  <c r="S186" i="4"/>
  <c r="R186" i="4"/>
  <c r="Q186" i="4"/>
  <c r="P186" i="4"/>
  <c r="O186" i="4"/>
  <c r="N186" i="4"/>
  <c r="T185" i="4"/>
  <c r="S185" i="4"/>
  <c r="R185" i="4"/>
  <c r="Q185" i="4"/>
  <c r="P185" i="4"/>
  <c r="O185" i="4"/>
  <c r="N185" i="4"/>
  <c r="T184" i="4"/>
  <c r="S184" i="4"/>
  <c r="R184" i="4"/>
  <c r="Q184" i="4"/>
  <c r="P184" i="4"/>
  <c r="O184" i="4"/>
  <c r="N184" i="4"/>
  <c r="T183" i="4"/>
  <c r="S183" i="4"/>
  <c r="R183" i="4"/>
  <c r="Q183" i="4"/>
  <c r="P183" i="4"/>
  <c r="O183" i="4"/>
  <c r="N183" i="4"/>
  <c r="T182" i="4"/>
  <c r="S182" i="4"/>
  <c r="R182" i="4"/>
  <c r="Q182" i="4"/>
  <c r="P182" i="4"/>
  <c r="O182" i="4"/>
  <c r="N182" i="4"/>
  <c r="T181" i="4"/>
  <c r="S181" i="4"/>
  <c r="C42" i="5" s="1"/>
  <c r="R181" i="4"/>
  <c r="Q181" i="4"/>
  <c r="P181" i="4"/>
  <c r="O181" i="4"/>
  <c r="N181" i="4"/>
  <c r="T180" i="4"/>
  <c r="S180" i="4"/>
  <c r="R180" i="4"/>
  <c r="Q180" i="4"/>
  <c r="P180" i="4"/>
  <c r="O180" i="4"/>
  <c r="N180" i="4"/>
  <c r="T179" i="4"/>
  <c r="S179" i="4"/>
  <c r="R179" i="4"/>
  <c r="Q179" i="4"/>
  <c r="P179" i="4"/>
  <c r="O179" i="4"/>
  <c r="N179" i="4"/>
  <c r="T178" i="4"/>
  <c r="S178" i="4"/>
  <c r="R178" i="4"/>
  <c r="Q178" i="4"/>
  <c r="P178" i="4"/>
  <c r="O178" i="4"/>
  <c r="N178" i="4"/>
  <c r="T177" i="4"/>
  <c r="S177" i="4"/>
  <c r="R177" i="4"/>
  <c r="Q177" i="4"/>
  <c r="P177" i="4"/>
  <c r="O177" i="4"/>
  <c r="N177" i="4"/>
  <c r="T176" i="4"/>
  <c r="S176" i="4"/>
  <c r="R176" i="4"/>
  <c r="Q176" i="4"/>
  <c r="P176" i="4"/>
  <c r="O176" i="4"/>
  <c r="N176" i="4"/>
  <c r="T175" i="4"/>
  <c r="S175" i="4"/>
  <c r="R175" i="4"/>
  <c r="Q175" i="4"/>
  <c r="P175" i="4"/>
  <c r="O175" i="4"/>
  <c r="N175" i="4"/>
  <c r="T174" i="4"/>
  <c r="S174" i="4"/>
  <c r="R174" i="4"/>
  <c r="Q174" i="4"/>
  <c r="P174" i="4"/>
  <c r="O174" i="4"/>
  <c r="N174" i="4"/>
  <c r="T173" i="4"/>
  <c r="S173" i="4"/>
  <c r="R173" i="4"/>
  <c r="Q173" i="4"/>
  <c r="P173" i="4"/>
  <c r="O173" i="4"/>
  <c r="N173" i="4"/>
  <c r="T172" i="4"/>
  <c r="S172" i="4"/>
  <c r="R172" i="4"/>
  <c r="Q172" i="4"/>
  <c r="P172" i="4"/>
  <c r="O172" i="4"/>
  <c r="N172" i="4"/>
  <c r="T171" i="4"/>
  <c r="S171" i="4"/>
  <c r="R171" i="4"/>
  <c r="Q171" i="4"/>
  <c r="P171" i="4"/>
  <c r="O171" i="4"/>
  <c r="N171" i="4"/>
  <c r="T170" i="4"/>
  <c r="S170" i="4"/>
  <c r="R170" i="4"/>
  <c r="Q170" i="4"/>
  <c r="P170" i="4"/>
  <c r="O170" i="4"/>
  <c r="N170" i="4"/>
  <c r="T169" i="4"/>
  <c r="S169" i="4"/>
  <c r="R169" i="4"/>
  <c r="Q169" i="4"/>
  <c r="P169" i="4"/>
  <c r="O169" i="4"/>
  <c r="N169" i="4"/>
  <c r="T168" i="4"/>
  <c r="S168" i="4"/>
  <c r="R168" i="4"/>
  <c r="Q168" i="4"/>
  <c r="P168" i="4"/>
  <c r="O168" i="4"/>
  <c r="N168" i="4"/>
  <c r="T167" i="4"/>
  <c r="S167" i="4"/>
  <c r="R167" i="4"/>
  <c r="Q167" i="4"/>
  <c r="P167" i="4"/>
  <c r="O167" i="4"/>
  <c r="N167" i="4"/>
  <c r="T166" i="4"/>
  <c r="S166" i="4"/>
  <c r="R166" i="4"/>
  <c r="Q166" i="4"/>
  <c r="P166" i="4"/>
  <c r="O166" i="4"/>
  <c r="N166" i="4"/>
  <c r="T165" i="4"/>
  <c r="S165" i="4"/>
  <c r="R165" i="4"/>
  <c r="Q165" i="4"/>
  <c r="P165" i="4"/>
  <c r="O165" i="4"/>
  <c r="N165" i="4"/>
  <c r="T164" i="4"/>
  <c r="S164" i="4"/>
  <c r="R164" i="4"/>
  <c r="Q164" i="4"/>
  <c r="P164" i="4"/>
  <c r="O164" i="4"/>
  <c r="N164" i="4"/>
  <c r="T163" i="4"/>
  <c r="S163" i="4"/>
  <c r="R163" i="4"/>
  <c r="Q163" i="4"/>
  <c r="P163" i="4"/>
  <c r="O163" i="4"/>
  <c r="N163" i="4"/>
  <c r="T162" i="4"/>
  <c r="S162" i="4"/>
  <c r="C10" i="5" s="1"/>
  <c r="R162" i="4"/>
  <c r="Q162" i="4"/>
  <c r="P162" i="4"/>
  <c r="O162" i="4"/>
  <c r="N162" i="4"/>
  <c r="F10" i="5" s="1"/>
  <c r="T161" i="4"/>
  <c r="S161" i="4"/>
  <c r="R161" i="4"/>
  <c r="Q161" i="4"/>
  <c r="P161" i="4"/>
  <c r="O161" i="4"/>
  <c r="N161" i="4"/>
  <c r="T160" i="4"/>
  <c r="S160" i="4"/>
  <c r="R160" i="4"/>
  <c r="Q160" i="4"/>
  <c r="P160" i="4"/>
  <c r="O160" i="4"/>
  <c r="N160" i="4"/>
  <c r="T159" i="4"/>
  <c r="S159" i="4"/>
  <c r="R159" i="4"/>
  <c r="Q159" i="4"/>
  <c r="P159" i="4"/>
  <c r="O159" i="4"/>
  <c r="N159" i="4"/>
  <c r="T158" i="4"/>
  <c r="S158" i="4"/>
  <c r="R158" i="4"/>
  <c r="Q158" i="4"/>
  <c r="P158" i="4"/>
  <c r="O158" i="4"/>
  <c r="N158" i="4"/>
  <c r="T157" i="4"/>
  <c r="S157" i="4"/>
  <c r="R157" i="4"/>
  <c r="Q157" i="4"/>
  <c r="P157" i="4"/>
  <c r="O157" i="4"/>
  <c r="N157" i="4"/>
  <c r="T156" i="4"/>
  <c r="S156" i="4"/>
  <c r="R156" i="4"/>
  <c r="Q156" i="4"/>
  <c r="P156" i="4"/>
  <c r="O156" i="4"/>
  <c r="N156" i="4"/>
  <c r="T155" i="4"/>
  <c r="S155" i="4"/>
  <c r="R155" i="4"/>
  <c r="Q155" i="4"/>
  <c r="P155" i="4"/>
  <c r="O155" i="4"/>
  <c r="N155" i="4"/>
  <c r="T154" i="4"/>
  <c r="S154" i="4"/>
  <c r="R154" i="4"/>
  <c r="Q154" i="4"/>
  <c r="P154" i="4"/>
  <c r="O154" i="4"/>
  <c r="N154" i="4"/>
  <c r="T153" i="4"/>
  <c r="S153" i="4"/>
  <c r="C50" i="5" s="1"/>
  <c r="R153" i="4"/>
  <c r="Q153" i="4"/>
  <c r="P153" i="4"/>
  <c r="O153" i="4"/>
  <c r="N153" i="4"/>
  <c r="T152" i="4"/>
  <c r="S152" i="4"/>
  <c r="R152" i="4"/>
  <c r="Q152" i="4"/>
  <c r="P152" i="4"/>
  <c r="O152" i="4"/>
  <c r="N152" i="4"/>
  <c r="T151" i="4"/>
  <c r="S151" i="4"/>
  <c r="R151" i="4"/>
  <c r="Q151" i="4"/>
  <c r="P151" i="4"/>
  <c r="O151" i="4"/>
  <c r="N151" i="4"/>
  <c r="T150" i="4"/>
  <c r="S150" i="4"/>
  <c r="R150" i="4"/>
  <c r="Q150" i="4"/>
  <c r="P150" i="4"/>
  <c r="O150" i="4"/>
  <c r="N150" i="4"/>
  <c r="T149" i="4"/>
  <c r="S149" i="4"/>
  <c r="R149" i="4"/>
  <c r="Q149" i="4"/>
  <c r="P149" i="4"/>
  <c r="O149" i="4"/>
  <c r="N149" i="4"/>
  <c r="T148" i="4"/>
  <c r="S148" i="4"/>
  <c r="R148" i="4"/>
  <c r="Q148" i="4"/>
  <c r="P148" i="4"/>
  <c r="O148" i="4"/>
  <c r="N148" i="4"/>
  <c r="T147" i="4"/>
  <c r="S147" i="4"/>
  <c r="R147" i="4"/>
  <c r="Q147" i="4"/>
  <c r="P147" i="4"/>
  <c r="O147" i="4"/>
  <c r="N147" i="4"/>
  <c r="T146" i="4"/>
  <c r="S146" i="4"/>
  <c r="R146" i="4"/>
  <c r="Q146" i="4"/>
  <c r="P146" i="4"/>
  <c r="O146" i="4"/>
  <c r="N146" i="4"/>
  <c r="T145" i="4"/>
  <c r="S145" i="4"/>
  <c r="R145" i="4"/>
  <c r="Q145" i="4"/>
  <c r="P145" i="4"/>
  <c r="O145" i="4"/>
  <c r="N145" i="4"/>
  <c r="T144" i="4"/>
  <c r="S144" i="4"/>
  <c r="R144" i="4"/>
  <c r="Q144" i="4"/>
  <c r="P144" i="4"/>
  <c r="O144" i="4"/>
  <c r="N144" i="4"/>
  <c r="T143" i="4"/>
  <c r="S143" i="4"/>
  <c r="R143" i="4"/>
  <c r="Q143" i="4"/>
  <c r="P143" i="4"/>
  <c r="O143" i="4"/>
  <c r="N143" i="4"/>
  <c r="T142" i="4"/>
  <c r="S142" i="4"/>
  <c r="R142" i="4"/>
  <c r="Q142" i="4"/>
  <c r="P142" i="4"/>
  <c r="O142" i="4"/>
  <c r="N142" i="4"/>
  <c r="T141" i="4"/>
  <c r="S141" i="4"/>
  <c r="R141" i="4"/>
  <c r="Q141" i="4"/>
  <c r="P141" i="4"/>
  <c r="O141" i="4"/>
  <c r="N141" i="4"/>
  <c r="T140" i="4"/>
  <c r="S140" i="4"/>
  <c r="R140" i="4"/>
  <c r="Q140" i="4"/>
  <c r="P140" i="4"/>
  <c r="O140" i="4"/>
  <c r="N140" i="4"/>
  <c r="T139" i="4"/>
  <c r="S139" i="4"/>
  <c r="R139" i="4"/>
  <c r="Q139" i="4"/>
  <c r="P139" i="4"/>
  <c r="O139" i="4"/>
  <c r="N139" i="4"/>
  <c r="T138" i="4"/>
  <c r="S138" i="4"/>
  <c r="R138" i="4"/>
  <c r="Q138" i="4"/>
  <c r="P138" i="4"/>
  <c r="O138" i="4"/>
  <c r="N138" i="4"/>
  <c r="T137" i="4"/>
  <c r="S137" i="4"/>
  <c r="R137" i="4"/>
  <c r="Q137" i="4"/>
  <c r="P137" i="4"/>
  <c r="O137" i="4"/>
  <c r="N137" i="4"/>
  <c r="T136" i="4"/>
  <c r="S136" i="4"/>
  <c r="R136" i="4"/>
  <c r="Q136" i="4"/>
  <c r="P136" i="4"/>
  <c r="O136" i="4"/>
  <c r="N136" i="4"/>
  <c r="T135" i="4"/>
  <c r="S135" i="4"/>
  <c r="R135" i="4"/>
  <c r="Q135" i="4"/>
  <c r="P135" i="4"/>
  <c r="O135" i="4"/>
  <c r="N135" i="4"/>
  <c r="T134" i="4"/>
  <c r="S134" i="4"/>
  <c r="R134" i="4"/>
  <c r="Q134" i="4"/>
  <c r="P134" i="4"/>
  <c r="O134" i="4"/>
  <c r="N134" i="4"/>
  <c r="T133" i="4"/>
  <c r="S133" i="4"/>
  <c r="R133" i="4"/>
  <c r="Q133" i="4"/>
  <c r="P133" i="4"/>
  <c r="O133" i="4"/>
  <c r="N133" i="4"/>
  <c r="T132" i="4"/>
  <c r="S132" i="4"/>
  <c r="R132" i="4"/>
  <c r="Q132" i="4"/>
  <c r="P132" i="4"/>
  <c r="O132" i="4"/>
  <c r="N132" i="4"/>
  <c r="T131" i="4"/>
  <c r="S131" i="4"/>
  <c r="R131" i="4"/>
  <c r="Q131" i="4"/>
  <c r="P131" i="4"/>
  <c r="O131" i="4"/>
  <c r="N131" i="4"/>
  <c r="T130" i="4"/>
  <c r="S130" i="4"/>
  <c r="R130" i="4"/>
  <c r="Q130" i="4"/>
  <c r="P130" i="4"/>
  <c r="O130" i="4"/>
  <c r="N130" i="4"/>
  <c r="T129" i="4"/>
  <c r="S129" i="4"/>
  <c r="R129" i="4"/>
  <c r="Q129" i="4"/>
  <c r="P129" i="4"/>
  <c r="O129" i="4"/>
  <c r="N129" i="4"/>
  <c r="T128" i="4"/>
  <c r="S128" i="4"/>
  <c r="R128" i="4"/>
  <c r="Q128" i="4"/>
  <c r="P128" i="4"/>
  <c r="O128" i="4"/>
  <c r="N128" i="4"/>
  <c r="T127" i="4"/>
  <c r="S127" i="4"/>
  <c r="R127" i="4"/>
  <c r="Q127" i="4"/>
  <c r="P127" i="4"/>
  <c r="O127" i="4"/>
  <c r="N127" i="4"/>
  <c r="T126" i="4"/>
  <c r="S126" i="4"/>
  <c r="R126" i="4"/>
  <c r="Q126" i="4"/>
  <c r="P126" i="4"/>
  <c r="O126" i="4"/>
  <c r="N126" i="4"/>
  <c r="T125" i="4"/>
  <c r="S125" i="4"/>
  <c r="R125" i="4"/>
  <c r="Q125" i="4"/>
  <c r="P125" i="4"/>
  <c r="O125" i="4"/>
  <c r="N125" i="4"/>
  <c r="T124" i="4"/>
  <c r="S124" i="4"/>
  <c r="R124" i="4"/>
  <c r="Q124" i="4"/>
  <c r="P124" i="4"/>
  <c r="O124" i="4"/>
  <c r="N124" i="4"/>
  <c r="T123" i="4"/>
  <c r="S123" i="4"/>
  <c r="R123" i="4"/>
  <c r="Q123" i="4"/>
  <c r="P123" i="4"/>
  <c r="O123" i="4"/>
  <c r="N123" i="4"/>
  <c r="T122" i="4"/>
  <c r="S122" i="4"/>
  <c r="R122" i="4"/>
  <c r="Q122" i="4"/>
  <c r="P122" i="4"/>
  <c r="O122" i="4"/>
  <c r="N122" i="4"/>
  <c r="T121" i="4"/>
  <c r="S121" i="4"/>
  <c r="C20" i="5" s="1"/>
  <c r="R121" i="4"/>
  <c r="Q121" i="4"/>
  <c r="P121" i="4"/>
  <c r="O121" i="4"/>
  <c r="N121" i="4"/>
  <c r="F20" i="5" s="1"/>
  <c r="T120" i="4"/>
  <c r="S120" i="4"/>
  <c r="R120" i="4"/>
  <c r="Q120" i="4"/>
  <c r="P120" i="4"/>
  <c r="O120" i="4"/>
  <c r="N120" i="4"/>
  <c r="T119" i="4"/>
  <c r="S119" i="4"/>
  <c r="R119" i="4"/>
  <c r="Q119" i="4"/>
  <c r="P119" i="4"/>
  <c r="O119" i="4"/>
  <c r="N119" i="4"/>
  <c r="T118" i="4"/>
  <c r="S118" i="4"/>
  <c r="R118" i="4"/>
  <c r="Q118" i="4"/>
  <c r="P118" i="4"/>
  <c r="O118" i="4"/>
  <c r="N118" i="4"/>
  <c r="T117" i="4"/>
  <c r="S117" i="4"/>
  <c r="R117" i="4"/>
  <c r="Q117" i="4"/>
  <c r="P117" i="4"/>
  <c r="O117" i="4"/>
  <c r="N117" i="4"/>
  <c r="T116" i="4"/>
  <c r="S116" i="4"/>
  <c r="C16" i="5" s="1"/>
  <c r="R116" i="4"/>
  <c r="Q116" i="4"/>
  <c r="P116" i="4"/>
  <c r="O116" i="4"/>
  <c r="N116" i="4"/>
  <c r="T115" i="4"/>
  <c r="S115" i="4"/>
  <c r="R115" i="4"/>
  <c r="Q115" i="4"/>
  <c r="P115" i="4"/>
  <c r="O115" i="4"/>
  <c r="N115" i="4"/>
  <c r="T114" i="4"/>
  <c r="S114" i="4"/>
  <c r="R114" i="4"/>
  <c r="Q114" i="4"/>
  <c r="P114" i="4"/>
  <c r="O114" i="4"/>
  <c r="N114" i="4"/>
  <c r="T113" i="4"/>
  <c r="S113" i="4"/>
  <c r="R113" i="4"/>
  <c r="Q113" i="4"/>
  <c r="P113" i="4"/>
  <c r="O113" i="4"/>
  <c r="N113" i="4"/>
  <c r="T112" i="4"/>
  <c r="S112" i="4"/>
  <c r="C47" i="5" s="1"/>
  <c r="R112" i="4"/>
  <c r="Q112" i="4"/>
  <c r="P112" i="4"/>
  <c r="O112" i="4"/>
  <c r="N112" i="4"/>
  <c r="T111" i="4"/>
  <c r="S111" i="4"/>
  <c r="R111" i="4"/>
  <c r="Q111" i="4"/>
  <c r="P111" i="4"/>
  <c r="O111" i="4"/>
  <c r="N111" i="4"/>
  <c r="T110" i="4"/>
  <c r="S110" i="4"/>
  <c r="R110" i="4"/>
  <c r="Q110" i="4"/>
  <c r="P110" i="4"/>
  <c r="O110" i="4"/>
  <c r="N110" i="4"/>
  <c r="T109" i="4"/>
  <c r="S109" i="4"/>
  <c r="R109" i="4"/>
  <c r="Q109" i="4"/>
  <c r="P109" i="4"/>
  <c r="O109" i="4"/>
  <c r="N109" i="4"/>
  <c r="T108" i="4"/>
  <c r="S108" i="4"/>
  <c r="R108" i="4"/>
  <c r="Q108" i="4"/>
  <c r="P108" i="4"/>
  <c r="O108" i="4"/>
  <c r="N108" i="4"/>
  <c r="T107" i="4"/>
  <c r="S107" i="4"/>
  <c r="R107" i="4"/>
  <c r="Q107" i="4"/>
  <c r="P107" i="4"/>
  <c r="O107" i="4"/>
  <c r="N107" i="4"/>
  <c r="T106" i="4"/>
  <c r="S106" i="4"/>
  <c r="R106" i="4"/>
  <c r="Q106" i="4"/>
  <c r="P106" i="4"/>
  <c r="O106" i="4"/>
  <c r="N106" i="4"/>
  <c r="T105" i="4"/>
  <c r="S105" i="4"/>
  <c r="R105" i="4"/>
  <c r="Q105" i="4"/>
  <c r="P105" i="4"/>
  <c r="O105" i="4"/>
  <c r="N105" i="4"/>
  <c r="T104" i="4"/>
  <c r="S104" i="4"/>
  <c r="R104" i="4"/>
  <c r="Q104" i="4"/>
  <c r="P104" i="4"/>
  <c r="O104" i="4"/>
  <c r="N104" i="4"/>
  <c r="T103" i="4"/>
  <c r="S103" i="4"/>
  <c r="R103" i="4"/>
  <c r="Q103" i="4"/>
  <c r="P103" i="4"/>
  <c r="O103" i="4"/>
  <c r="N103" i="4"/>
  <c r="T102" i="4"/>
  <c r="S102" i="4"/>
  <c r="C37" i="5" s="1"/>
  <c r="R102" i="4"/>
  <c r="Q102" i="4"/>
  <c r="P102" i="4"/>
  <c r="O102" i="4"/>
  <c r="N102" i="4"/>
  <c r="F37" i="5" s="1"/>
  <c r="T101" i="4"/>
  <c r="S101" i="4"/>
  <c r="C39" i="5" s="1"/>
  <c r="R101" i="4"/>
  <c r="Q101" i="4"/>
  <c r="P101" i="4"/>
  <c r="O101" i="4"/>
  <c r="N101" i="4"/>
  <c r="T100" i="4"/>
  <c r="S100" i="4"/>
  <c r="R100" i="4"/>
  <c r="Q100" i="4"/>
  <c r="P100" i="4"/>
  <c r="O100" i="4"/>
  <c r="N100" i="4"/>
  <c r="T99" i="4"/>
  <c r="S99" i="4"/>
  <c r="R99" i="4"/>
  <c r="Q99" i="4"/>
  <c r="P99" i="4"/>
  <c r="O99" i="4"/>
  <c r="N99" i="4"/>
  <c r="T98" i="4"/>
  <c r="S98" i="4"/>
  <c r="C44" i="5" s="1"/>
  <c r="R98" i="4"/>
  <c r="Q98" i="4"/>
  <c r="P98" i="4"/>
  <c r="O98" i="4"/>
  <c r="N98" i="4"/>
  <c r="T97" i="4"/>
  <c r="S97" i="4"/>
  <c r="R97" i="4"/>
  <c r="Q97" i="4"/>
  <c r="P97" i="4"/>
  <c r="O97" i="4"/>
  <c r="N97" i="4"/>
  <c r="T96" i="4"/>
  <c r="S96" i="4"/>
  <c r="R96" i="4"/>
  <c r="Q96" i="4"/>
  <c r="P96" i="4"/>
  <c r="O96" i="4"/>
  <c r="N96" i="4"/>
  <c r="T95" i="4"/>
  <c r="S95" i="4"/>
  <c r="R95" i="4"/>
  <c r="Q95" i="4"/>
  <c r="P95" i="4"/>
  <c r="O95" i="4"/>
  <c r="N95" i="4"/>
  <c r="T94" i="4"/>
  <c r="S94" i="4"/>
  <c r="R94" i="4"/>
  <c r="Q94" i="4"/>
  <c r="P94" i="4"/>
  <c r="O94" i="4"/>
  <c r="N94" i="4"/>
  <c r="T93" i="4"/>
  <c r="S93" i="4"/>
  <c r="R93" i="4"/>
  <c r="Q93" i="4"/>
  <c r="P93" i="4"/>
  <c r="O93" i="4"/>
  <c r="N93" i="4"/>
  <c r="T92" i="4"/>
  <c r="S92" i="4"/>
  <c r="R92" i="4"/>
  <c r="Q92" i="4"/>
  <c r="P92" i="4"/>
  <c r="O92" i="4"/>
  <c r="N92" i="4"/>
  <c r="T91" i="4"/>
  <c r="S91" i="4"/>
  <c r="R91" i="4"/>
  <c r="Q91" i="4"/>
  <c r="P91" i="4"/>
  <c r="O91" i="4"/>
  <c r="N91" i="4"/>
  <c r="T90" i="4"/>
  <c r="S90" i="4"/>
  <c r="R90" i="4"/>
  <c r="Q90" i="4"/>
  <c r="P90" i="4"/>
  <c r="O90" i="4"/>
  <c r="N90" i="4"/>
  <c r="T89" i="4"/>
  <c r="S89" i="4"/>
  <c r="R89" i="4"/>
  <c r="Q89" i="4"/>
  <c r="P89" i="4"/>
  <c r="O89" i="4"/>
  <c r="N89" i="4"/>
  <c r="T88" i="4"/>
  <c r="S88" i="4"/>
  <c r="R88" i="4"/>
  <c r="Q88" i="4"/>
  <c r="P88" i="4"/>
  <c r="O88" i="4"/>
  <c r="N88" i="4"/>
  <c r="T87" i="4"/>
  <c r="S87" i="4"/>
  <c r="R87" i="4"/>
  <c r="Q87" i="4"/>
  <c r="P87" i="4"/>
  <c r="O87" i="4"/>
  <c r="N87" i="4"/>
  <c r="T86" i="4"/>
  <c r="S86" i="4"/>
  <c r="R86" i="4"/>
  <c r="Q86" i="4"/>
  <c r="P86" i="4"/>
  <c r="O86" i="4"/>
  <c r="N86" i="4"/>
  <c r="T85" i="4"/>
  <c r="S85" i="4"/>
  <c r="C21" i="5" s="1"/>
  <c r="R85" i="4"/>
  <c r="Q85" i="4"/>
  <c r="P85" i="4"/>
  <c r="O85" i="4"/>
  <c r="N85" i="4"/>
  <c r="F21" i="5" s="1"/>
  <c r="T84" i="4"/>
  <c r="S84" i="4"/>
  <c r="R84" i="4"/>
  <c r="Q84" i="4"/>
  <c r="P84" i="4"/>
  <c r="O84" i="4"/>
  <c r="N84" i="4"/>
  <c r="T83" i="4"/>
  <c r="S83" i="4"/>
  <c r="R83" i="4"/>
  <c r="Q83" i="4"/>
  <c r="P83" i="4"/>
  <c r="O83" i="4"/>
  <c r="N83" i="4"/>
  <c r="T82" i="4"/>
  <c r="S82" i="4"/>
  <c r="R82" i="4"/>
  <c r="Q82" i="4"/>
  <c r="P82" i="4"/>
  <c r="O82" i="4"/>
  <c r="N82" i="4"/>
  <c r="T81" i="4"/>
  <c r="S81" i="4"/>
  <c r="R81" i="4"/>
  <c r="Q81" i="4"/>
  <c r="P81" i="4"/>
  <c r="O81" i="4"/>
  <c r="N81" i="4"/>
  <c r="T80" i="4"/>
  <c r="S80" i="4"/>
  <c r="R80" i="4"/>
  <c r="Q80" i="4"/>
  <c r="P80" i="4"/>
  <c r="O80" i="4"/>
  <c r="N80" i="4"/>
  <c r="T79" i="4"/>
  <c r="S79" i="4"/>
  <c r="R79" i="4"/>
  <c r="Q79" i="4"/>
  <c r="P79" i="4"/>
  <c r="O79" i="4"/>
  <c r="N79" i="4"/>
  <c r="T78" i="4"/>
  <c r="S78" i="4"/>
  <c r="R78" i="4"/>
  <c r="Q78" i="4"/>
  <c r="P78" i="4"/>
  <c r="O78" i="4"/>
  <c r="N78" i="4"/>
  <c r="T77" i="4"/>
  <c r="S77" i="4"/>
  <c r="R77" i="4"/>
  <c r="Q77" i="4"/>
  <c r="P77" i="4"/>
  <c r="O77" i="4"/>
  <c r="N77" i="4"/>
  <c r="T76" i="4"/>
  <c r="S76" i="4"/>
  <c r="R76" i="4"/>
  <c r="Q76" i="4"/>
  <c r="P76" i="4"/>
  <c r="O76" i="4"/>
  <c r="N76" i="4"/>
  <c r="T75" i="4"/>
  <c r="S75" i="4"/>
  <c r="R75" i="4"/>
  <c r="Q75" i="4"/>
  <c r="P75" i="4"/>
  <c r="O75" i="4"/>
  <c r="N75" i="4"/>
  <c r="T74" i="4"/>
  <c r="S74" i="4"/>
  <c r="R74" i="4"/>
  <c r="Q74" i="4"/>
  <c r="P74" i="4"/>
  <c r="O74" i="4"/>
  <c r="N74" i="4"/>
  <c r="T73" i="4"/>
  <c r="S73" i="4"/>
  <c r="R73" i="4"/>
  <c r="Q73" i="4"/>
  <c r="P73" i="4"/>
  <c r="O73" i="4"/>
  <c r="N73" i="4"/>
  <c r="T72" i="4"/>
  <c r="S72" i="4"/>
  <c r="C52" i="5" s="1"/>
  <c r="R72" i="4"/>
  <c r="Q72" i="4"/>
  <c r="P72" i="4"/>
  <c r="O72" i="4"/>
  <c r="N72" i="4"/>
  <c r="T71" i="4"/>
  <c r="S71" i="4"/>
  <c r="R71" i="4"/>
  <c r="Q71" i="4"/>
  <c r="P71" i="4"/>
  <c r="O71" i="4"/>
  <c r="N71" i="4"/>
  <c r="T70" i="4"/>
  <c r="S70" i="4"/>
  <c r="C38" i="5" s="1"/>
  <c r="R70" i="4"/>
  <c r="Q70" i="4"/>
  <c r="P70" i="4"/>
  <c r="O70" i="4"/>
  <c r="N70" i="4"/>
  <c r="T69" i="4"/>
  <c r="S69" i="4"/>
  <c r="R69" i="4"/>
  <c r="Q69" i="4"/>
  <c r="P69" i="4"/>
  <c r="O69" i="4"/>
  <c r="N69" i="4"/>
  <c r="T68" i="4"/>
  <c r="S68" i="4"/>
  <c r="R68" i="4"/>
  <c r="Q68" i="4"/>
  <c r="P68" i="4"/>
  <c r="O68" i="4"/>
  <c r="N68" i="4"/>
  <c r="T67" i="4"/>
  <c r="S67" i="4"/>
  <c r="R67" i="4"/>
  <c r="Q67" i="4"/>
  <c r="P67" i="4"/>
  <c r="O67" i="4"/>
  <c r="N67" i="4"/>
  <c r="T66" i="4"/>
  <c r="S66" i="4"/>
  <c r="R66" i="4"/>
  <c r="Q66" i="4"/>
  <c r="P66" i="4"/>
  <c r="O66" i="4"/>
  <c r="N66" i="4"/>
  <c r="T65" i="4"/>
  <c r="S65" i="4"/>
  <c r="C25" i="5" s="1"/>
  <c r="R65" i="4"/>
  <c r="Q65" i="4"/>
  <c r="P65" i="4"/>
  <c r="O65" i="4"/>
  <c r="N65" i="4"/>
  <c r="T64" i="4"/>
  <c r="S64" i="4"/>
  <c r="C12" i="5" s="1"/>
  <c r="R64" i="4"/>
  <c r="Q64" i="4"/>
  <c r="P64" i="4"/>
  <c r="O64" i="4"/>
  <c r="N64" i="4"/>
  <c r="T63" i="4"/>
  <c r="S63" i="4"/>
  <c r="R63" i="4"/>
  <c r="Q63" i="4"/>
  <c r="P63" i="4"/>
  <c r="O63" i="4"/>
  <c r="N63" i="4"/>
  <c r="T62" i="4"/>
  <c r="S62" i="4"/>
  <c r="R62" i="4"/>
  <c r="Q62" i="4"/>
  <c r="P62" i="4"/>
  <c r="O62" i="4"/>
  <c r="N62" i="4"/>
  <c r="T61" i="4"/>
  <c r="S61" i="4"/>
  <c r="R61" i="4"/>
  <c r="Q61" i="4"/>
  <c r="P61" i="4"/>
  <c r="O61" i="4"/>
  <c r="N61" i="4"/>
  <c r="T60" i="4"/>
  <c r="S60" i="4"/>
  <c r="R60" i="4"/>
  <c r="Q60" i="4"/>
  <c r="P60" i="4"/>
  <c r="O60" i="4"/>
  <c r="N60" i="4"/>
  <c r="T59" i="4"/>
  <c r="S59" i="4"/>
  <c r="R59" i="4"/>
  <c r="Q59" i="4"/>
  <c r="P59" i="4"/>
  <c r="O59" i="4"/>
  <c r="N59" i="4"/>
  <c r="T58" i="4"/>
  <c r="S58" i="4"/>
  <c r="R58" i="4"/>
  <c r="Q58" i="4"/>
  <c r="P58" i="4"/>
  <c r="O58" i="4"/>
  <c r="N58" i="4"/>
  <c r="T57" i="4"/>
  <c r="S57" i="4"/>
  <c r="R57" i="4"/>
  <c r="Q57" i="4"/>
  <c r="P57" i="4"/>
  <c r="O57" i="4"/>
  <c r="N57" i="4"/>
  <c r="T56" i="4"/>
  <c r="S56" i="4"/>
  <c r="R56" i="4"/>
  <c r="Q56" i="4"/>
  <c r="P56" i="4"/>
  <c r="O56" i="4"/>
  <c r="N56" i="4"/>
  <c r="T55" i="4"/>
  <c r="S55" i="4"/>
  <c r="C54" i="5" s="1"/>
  <c r="R55" i="4"/>
  <c r="Q55" i="4"/>
  <c r="P55" i="4"/>
  <c r="O55" i="4"/>
  <c r="N55" i="4"/>
  <c r="T54" i="4"/>
  <c r="S54" i="4"/>
  <c r="R54" i="4"/>
  <c r="Q54" i="4"/>
  <c r="P54" i="4"/>
  <c r="O54" i="4"/>
  <c r="N54" i="4"/>
  <c r="T53" i="4"/>
  <c r="S53" i="4"/>
  <c r="R53" i="4"/>
  <c r="Q53" i="4"/>
  <c r="P53" i="4"/>
  <c r="O53" i="4"/>
  <c r="N53" i="4"/>
  <c r="T52" i="4"/>
  <c r="S52" i="4"/>
  <c r="R52" i="4"/>
  <c r="Q52" i="4"/>
  <c r="P52" i="4"/>
  <c r="O52" i="4"/>
  <c r="N52" i="4"/>
  <c r="T51" i="4"/>
  <c r="S51" i="4"/>
  <c r="R51" i="4"/>
  <c r="Q51" i="4"/>
  <c r="P51" i="4"/>
  <c r="O51" i="4"/>
  <c r="N51" i="4"/>
  <c r="T50" i="4"/>
  <c r="S50" i="4"/>
  <c r="R50" i="4"/>
  <c r="Q50" i="4"/>
  <c r="P50" i="4"/>
  <c r="O50" i="4"/>
  <c r="N50" i="4"/>
  <c r="T49" i="4"/>
  <c r="S49" i="4"/>
  <c r="R49" i="4"/>
  <c r="Q49" i="4"/>
  <c r="P49" i="4"/>
  <c r="O49" i="4"/>
  <c r="N49" i="4"/>
  <c r="T48" i="4"/>
  <c r="S48" i="4"/>
  <c r="C55" i="5" s="1"/>
  <c r="R48" i="4"/>
  <c r="Q48" i="4"/>
  <c r="P48" i="4"/>
  <c r="O48" i="4"/>
  <c r="N48" i="4"/>
  <c r="F55" i="5" s="1"/>
  <c r="T47" i="4"/>
  <c r="S47" i="4"/>
  <c r="R47" i="4"/>
  <c r="Q47" i="4"/>
  <c r="P47" i="4"/>
  <c r="O47" i="4"/>
  <c r="N47" i="4"/>
  <c r="T46" i="4"/>
  <c r="S46" i="4"/>
  <c r="R46" i="4"/>
  <c r="Q46" i="4"/>
  <c r="P46" i="4"/>
  <c r="O46" i="4"/>
  <c r="N46" i="4"/>
  <c r="T45" i="4"/>
  <c r="S45" i="4"/>
  <c r="C33" i="5" s="1"/>
  <c r="R45" i="4"/>
  <c r="Q45" i="4"/>
  <c r="P45" i="4"/>
  <c r="O45" i="4"/>
  <c r="N45" i="4"/>
  <c r="T44" i="4"/>
  <c r="S44" i="4"/>
  <c r="C9" i="5" s="1"/>
  <c r="R44" i="4"/>
  <c r="Q44" i="4"/>
  <c r="P44" i="4"/>
  <c r="O44" i="4"/>
  <c r="N44" i="4"/>
  <c r="T43" i="4"/>
  <c r="S43" i="4"/>
  <c r="C45" i="5" s="1"/>
  <c r="R43" i="4"/>
  <c r="Q43" i="4"/>
  <c r="P43" i="4"/>
  <c r="O43" i="4"/>
  <c r="N43" i="4"/>
  <c r="T42" i="4"/>
  <c r="S42" i="4"/>
  <c r="R42" i="4"/>
  <c r="Q42" i="4"/>
  <c r="P42" i="4"/>
  <c r="O42" i="4"/>
  <c r="N42" i="4"/>
  <c r="T41" i="4"/>
  <c r="S41" i="4"/>
  <c r="C24" i="5" s="1"/>
  <c r="R41" i="4"/>
  <c r="Q41" i="4"/>
  <c r="P41" i="4"/>
  <c r="O41" i="4"/>
  <c r="N41" i="4"/>
  <c r="F24" i="5" s="1"/>
  <c r="T40" i="4"/>
  <c r="S40" i="4"/>
  <c r="C40" i="5" s="1"/>
  <c r="R40" i="4"/>
  <c r="Q40" i="4"/>
  <c r="P40" i="4"/>
  <c r="O40" i="4"/>
  <c r="N40" i="4"/>
  <c r="T39" i="4"/>
  <c r="S39" i="4"/>
  <c r="C13" i="5" s="1"/>
  <c r="R39" i="4"/>
  <c r="Q39" i="4"/>
  <c r="P39" i="4"/>
  <c r="O39" i="4"/>
  <c r="N39" i="4"/>
  <c r="T38" i="4"/>
  <c r="S38" i="4"/>
  <c r="C36" i="5" s="1"/>
  <c r="R38" i="4"/>
  <c r="Q38" i="4"/>
  <c r="P38" i="4"/>
  <c r="O38" i="4"/>
  <c r="N38" i="4"/>
  <c r="T37" i="4"/>
  <c r="S37" i="4"/>
  <c r="R37" i="4"/>
  <c r="Q37" i="4"/>
  <c r="P37" i="4"/>
  <c r="O37" i="4"/>
  <c r="N37" i="4"/>
  <c r="T36" i="4"/>
  <c r="S36" i="4"/>
  <c r="R36" i="4"/>
  <c r="Q36" i="4"/>
  <c r="P36" i="4"/>
  <c r="O36" i="4"/>
  <c r="N36" i="4"/>
  <c r="T35" i="4"/>
  <c r="S35" i="4"/>
  <c r="R35" i="4"/>
  <c r="Q35" i="4"/>
  <c r="P35" i="4"/>
  <c r="O35" i="4"/>
  <c r="N35" i="4"/>
  <c r="T34" i="4"/>
  <c r="S34" i="4"/>
  <c r="C7" i="5" s="1"/>
  <c r="R34" i="4"/>
  <c r="Q34" i="4"/>
  <c r="P34" i="4"/>
  <c r="O34" i="4"/>
  <c r="N34" i="4"/>
  <c r="T33" i="4"/>
  <c r="S33" i="4"/>
  <c r="C11" i="5" s="1"/>
  <c r="R33" i="4"/>
  <c r="Q33" i="4"/>
  <c r="P33" i="4"/>
  <c r="O33" i="4"/>
  <c r="N33" i="4"/>
  <c r="F11" i="5" s="1"/>
  <c r="T32" i="4"/>
  <c r="S32" i="4"/>
  <c r="C34" i="5" s="1"/>
  <c r="R32" i="4"/>
  <c r="Q32" i="4"/>
  <c r="P32" i="4"/>
  <c r="O32" i="4"/>
  <c r="N32" i="4"/>
  <c r="T31" i="4"/>
  <c r="S31" i="4"/>
  <c r="R31" i="4"/>
  <c r="Q31" i="4"/>
  <c r="P31" i="4"/>
  <c r="O31" i="4"/>
  <c r="N31" i="4"/>
  <c r="T30" i="4"/>
  <c r="S30" i="4"/>
  <c r="C35" i="5" s="1"/>
  <c r="R30" i="4"/>
  <c r="Q30" i="4"/>
  <c r="P30" i="4"/>
  <c r="O30" i="4"/>
  <c r="N30" i="4"/>
  <c r="T29" i="4"/>
  <c r="S29" i="4"/>
  <c r="C19" i="5" s="1"/>
  <c r="R29" i="4"/>
  <c r="Q29" i="4"/>
  <c r="P29" i="4"/>
  <c r="O29" i="4"/>
  <c r="N29" i="4"/>
  <c r="F19" i="5" s="1"/>
  <c r="T28" i="4"/>
  <c r="S28" i="4"/>
  <c r="R28" i="4"/>
  <c r="Q28" i="4"/>
  <c r="P28" i="4"/>
  <c r="O28" i="4"/>
  <c r="N28" i="4"/>
  <c r="T27" i="4"/>
  <c r="S27" i="4"/>
  <c r="R27" i="4"/>
  <c r="Q27" i="4"/>
  <c r="P27" i="4"/>
  <c r="O27" i="4"/>
  <c r="N27" i="4"/>
  <c r="T26" i="4"/>
  <c r="S26" i="4"/>
  <c r="C41" i="5" s="1"/>
  <c r="R26" i="4"/>
  <c r="Q26" i="4"/>
  <c r="P26" i="4"/>
  <c r="O26" i="4"/>
  <c r="N26" i="4"/>
  <c r="T25" i="4"/>
  <c r="S25" i="4"/>
  <c r="R25" i="4"/>
  <c r="Q25" i="4"/>
  <c r="P25" i="4"/>
  <c r="O25" i="4"/>
  <c r="N25" i="4"/>
  <c r="T24" i="4"/>
  <c r="S24" i="4"/>
  <c r="C49" i="5" s="1"/>
  <c r="R24" i="4"/>
  <c r="Q24" i="4"/>
  <c r="P24" i="4"/>
  <c r="O24" i="4"/>
  <c r="N24" i="4"/>
  <c r="T23" i="4"/>
  <c r="S23" i="4"/>
  <c r="C17" i="5" s="1"/>
  <c r="R23" i="4"/>
  <c r="Q23" i="4"/>
  <c r="P23" i="4"/>
  <c r="O23" i="4"/>
  <c r="N23" i="4"/>
  <c r="T22" i="4"/>
  <c r="S22" i="4"/>
  <c r="C23" i="5" s="1"/>
  <c r="R22" i="4"/>
  <c r="Q22" i="4"/>
  <c r="P22" i="4"/>
  <c r="O22" i="4"/>
  <c r="N22" i="4"/>
  <c r="T21" i="4"/>
  <c r="S21" i="4"/>
  <c r="C53" i="5" s="1"/>
  <c r="R21" i="4"/>
  <c r="Q21" i="4"/>
  <c r="P21" i="4"/>
  <c r="O21" i="4"/>
  <c r="N21" i="4"/>
  <c r="T20" i="4"/>
  <c r="S20" i="4"/>
  <c r="C15" i="5" s="1"/>
  <c r="R20" i="4"/>
  <c r="Q20" i="4"/>
  <c r="P20" i="4"/>
  <c r="O20" i="4"/>
  <c r="N20" i="4"/>
  <c r="T19" i="4"/>
  <c r="S19" i="4"/>
  <c r="R19" i="4"/>
  <c r="Q19" i="4"/>
  <c r="P19" i="4"/>
  <c r="O19" i="4"/>
  <c r="N19" i="4"/>
  <c r="T18" i="4"/>
  <c r="S18" i="4"/>
  <c r="C30" i="5" s="1"/>
  <c r="R18" i="4"/>
  <c r="Q18" i="4"/>
  <c r="P18" i="4"/>
  <c r="O18" i="4"/>
  <c r="N18" i="4"/>
  <c r="T17" i="4"/>
  <c r="S17" i="4"/>
  <c r="C32" i="5" s="1"/>
  <c r="R17" i="4"/>
  <c r="Q17" i="4"/>
  <c r="P17" i="4"/>
  <c r="O17" i="4"/>
  <c r="N17" i="4"/>
  <c r="T16" i="4"/>
  <c r="S16" i="4"/>
  <c r="C43" i="5" s="1"/>
  <c r="R16" i="4"/>
  <c r="Q16" i="4"/>
  <c r="P16" i="4"/>
  <c r="O16" i="4"/>
  <c r="N16" i="4"/>
  <c r="T15" i="4"/>
  <c r="S15" i="4"/>
  <c r="C48" i="5" s="1"/>
  <c r="R15" i="4"/>
  <c r="Q15" i="4"/>
  <c r="P15" i="4"/>
  <c r="O15" i="4"/>
  <c r="N15" i="4"/>
  <c r="T14" i="4"/>
  <c r="S14" i="4"/>
  <c r="C46" i="5" s="1"/>
  <c r="R14" i="4"/>
  <c r="Q14" i="4"/>
  <c r="P14" i="4"/>
  <c r="O14" i="4"/>
  <c r="N14" i="4"/>
  <c r="T13" i="4"/>
  <c r="S13" i="4"/>
  <c r="R13" i="4"/>
  <c r="Q13" i="4"/>
  <c r="P13" i="4"/>
  <c r="O13" i="4"/>
  <c r="N13" i="4"/>
  <c r="T12" i="4"/>
  <c r="S12" i="4"/>
  <c r="C31" i="5" s="1"/>
  <c r="R12" i="4"/>
  <c r="Q12" i="4"/>
  <c r="P12" i="4"/>
  <c r="O12" i="4"/>
  <c r="N12" i="4"/>
  <c r="T11" i="4"/>
  <c r="S11" i="4"/>
  <c r="C27" i="5" s="1"/>
  <c r="R11" i="4"/>
  <c r="Q11" i="4"/>
  <c r="P11" i="4"/>
  <c r="O11" i="4"/>
  <c r="N11" i="4"/>
  <c r="T10" i="4"/>
  <c r="S10" i="4"/>
  <c r="C14" i="5" s="1"/>
  <c r="R10" i="4"/>
  <c r="Q10" i="4"/>
  <c r="P10" i="4"/>
  <c r="O10" i="4"/>
  <c r="N10" i="4"/>
  <c r="T9" i="4"/>
  <c r="S9" i="4"/>
  <c r="C22" i="5" s="1"/>
  <c r="R9" i="4"/>
  <c r="Q9" i="4"/>
  <c r="P9" i="4"/>
  <c r="O9" i="4"/>
  <c r="N9" i="4"/>
  <c r="T8" i="4"/>
  <c r="S8" i="4"/>
  <c r="R8" i="4"/>
  <c r="Q8" i="4"/>
  <c r="P8" i="4"/>
  <c r="O8" i="4"/>
  <c r="N8" i="4"/>
  <c r="T7" i="4"/>
  <c r="S7" i="4"/>
  <c r="C29" i="5" s="1"/>
  <c r="R7" i="4"/>
  <c r="Q7" i="4"/>
  <c r="P7" i="4"/>
  <c r="O7" i="4"/>
  <c r="N7" i="4"/>
  <c r="T6" i="4"/>
  <c r="S6" i="4"/>
  <c r="C8" i="5" s="1"/>
  <c r="R6" i="4"/>
  <c r="Q6" i="4"/>
  <c r="P6" i="4"/>
  <c r="O6" i="4"/>
  <c r="N6" i="4"/>
  <c r="T5" i="4"/>
  <c r="S5" i="4"/>
  <c r="C51" i="5" s="1"/>
  <c r="R5" i="4"/>
  <c r="Q5" i="4"/>
  <c r="P5" i="4"/>
  <c r="O5" i="4"/>
  <c r="N5" i="4"/>
  <c r="T4" i="4"/>
  <c r="S4" i="4"/>
  <c r="C26" i="5" s="1"/>
  <c r="R4" i="4"/>
  <c r="Q4" i="4"/>
  <c r="P4" i="4"/>
  <c r="O4" i="4"/>
  <c r="N4" i="4"/>
  <c r="T3" i="4"/>
  <c r="S3" i="4"/>
  <c r="C18" i="5" s="1"/>
  <c r="R3" i="4"/>
  <c r="Q3" i="4"/>
  <c r="P3" i="4"/>
  <c r="O3" i="4"/>
  <c r="N3" i="4"/>
  <c r="F18" i="5" s="1"/>
  <c r="T2" i="4"/>
  <c r="S2" i="4"/>
  <c r="C28" i="5" s="1"/>
  <c r="R2" i="4"/>
  <c r="Q2" i="4"/>
  <c r="P2" i="4"/>
  <c r="O2" i="4"/>
  <c r="N2" i="4"/>
  <c r="B4" i="2" s="1"/>
  <c r="B7" i="2" s="1"/>
  <c r="D7" i="2" s="1"/>
  <c r="G10" i="2"/>
  <c r="B6" i="2"/>
  <c r="D6" i="2" s="1"/>
  <c r="B5" i="2"/>
  <c r="D5" i="2" s="1"/>
  <c r="F45" i="5" l="1"/>
  <c r="F41" i="5"/>
  <c r="F7" i="5"/>
  <c r="F40" i="5"/>
  <c r="G6" i="5"/>
  <c r="F17" i="5"/>
  <c r="F13" i="5"/>
  <c r="F23" i="5"/>
  <c r="F36" i="5"/>
  <c r="G36" i="5" s="1"/>
  <c r="F38" i="5"/>
  <c r="B7" i="9"/>
  <c r="F12" i="5"/>
  <c r="F46" i="5"/>
  <c r="F53" i="5"/>
  <c r="F33" i="5"/>
  <c r="F31" i="5"/>
  <c r="F15" i="5"/>
  <c r="G15" i="5" s="1"/>
  <c r="F9" i="5"/>
  <c r="G9" i="5" s="1"/>
  <c r="F16" i="5"/>
  <c r="G3" i="10"/>
  <c r="G4" i="10" s="1"/>
  <c r="G15" i="6"/>
  <c r="E15" i="6"/>
  <c r="G6" i="2" s="1"/>
  <c r="G16" i="6"/>
  <c r="G11" i="5"/>
  <c r="G20" i="5"/>
  <c r="A4" i="3"/>
  <c r="G7" i="5"/>
  <c r="G10" i="5"/>
  <c r="G37" i="5"/>
  <c r="G12" i="5"/>
  <c r="G13" i="5"/>
  <c r="G21" i="5"/>
  <c r="G16" i="5"/>
  <c r="G17" i="5"/>
  <c r="G19" i="5"/>
  <c r="G18" i="5"/>
  <c r="C31" i="6"/>
  <c r="B8" i="8"/>
  <c r="C42" i="6"/>
  <c r="C35" i="6"/>
  <c r="C21" i="6"/>
  <c r="G12" i="6"/>
  <c r="C29" i="6"/>
  <c r="G4" i="6"/>
  <c r="F30" i="5"/>
  <c r="G41" i="5"/>
  <c r="F44" i="5"/>
  <c r="G40" i="5"/>
  <c r="D5" i="7"/>
  <c r="C37" i="6"/>
  <c r="F22" i="5"/>
  <c r="J7" i="10"/>
  <c r="F32" i="5"/>
  <c r="G10" i="6"/>
  <c r="F25" i="5"/>
  <c r="F50" i="5"/>
  <c r="F57" i="5"/>
  <c r="D57" i="5"/>
  <c r="G5" i="2" s="1"/>
  <c r="G23" i="5"/>
  <c r="F28" i="5"/>
  <c r="G32" i="5"/>
  <c r="G6" i="6"/>
  <c r="G5" i="6"/>
  <c r="F43" i="5"/>
  <c r="F49" i="5"/>
  <c r="F34" i="5"/>
  <c r="G55" i="5"/>
  <c r="F52" i="5"/>
  <c r="F47" i="5"/>
  <c r="D60" i="5"/>
  <c r="A13" i="3" s="1"/>
  <c r="C5" i="7"/>
  <c r="C30" i="6"/>
  <c r="F48" i="5"/>
  <c r="G9" i="6"/>
  <c r="F54" i="5"/>
  <c r="F14" i="5"/>
  <c r="G24" i="5"/>
  <c r="C22" i="6"/>
  <c r="G11" i="6"/>
  <c r="G46" i="5"/>
  <c r="F35" i="5"/>
  <c r="F29" i="5"/>
  <c r="F51" i="5"/>
  <c r="C27" i="6"/>
  <c r="G53" i="5"/>
  <c r="G7" i="6"/>
  <c r="G33" i="5"/>
  <c r="F39" i="5"/>
  <c r="F42" i="5"/>
  <c r="G38" i="5"/>
  <c r="G43" i="5"/>
  <c r="N50" i="10"/>
  <c r="K49" i="10"/>
  <c r="M47" i="10"/>
  <c r="L46" i="10"/>
  <c r="K45" i="10"/>
  <c r="J44" i="10"/>
  <c r="N40" i="10"/>
  <c r="M39" i="10"/>
  <c r="L38" i="10"/>
  <c r="K37" i="10"/>
  <c r="J36" i="10"/>
  <c r="N32" i="10"/>
  <c r="M31" i="10"/>
  <c r="L30" i="10"/>
  <c r="K29" i="10"/>
  <c r="J28" i="10"/>
  <c r="N24" i="10"/>
  <c r="M23" i="10"/>
  <c r="L22" i="10"/>
  <c r="K21" i="10"/>
  <c r="J20" i="10"/>
  <c r="N16" i="10"/>
  <c r="M15" i="10"/>
  <c r="L14" i="10"/>
  <c r="K13" i="10"/>
  <c r="J12" i="10"/>
  <c r="M50" i="10"/>
  <c r="J49" i="10"/>
  <c r="L47" i="10"/>
  <c r="K46" i="10"/>
  <c r="J45" i="10"/>
  <c r="N41" i="10"/>
  <c r="M40" i="10"/>
  <c r="L39" i="10"/>
  <c r="K38" i="10"/>
  <c r="J37" i="10"/>
  <c r="N33" i="10"/>
  <c r="M32" i="10"/>
  <c r="L31" i="10"/>
  <c r="K30" i="10"/>
  <c r="J29" i="10"/>
  <c r="N25" i="10"/>
  <c r="M24" i="10"/>
  <c r="L23" i="10"/>
  <c r="K22" i="10"/>
  <c r="J21" i="10"/>
  <c r="N17" i="10"/>
  <c r="M16" i="10"/>
  <c r="L15" i="10"/>
  <c r="K14" i="10"/>
  <c r="J13" i="10"/>
  <c r="L50" i="10"/>
  <c r="N48" i="10"/>
  <c r="K47" i="10"/>
  <c r="J46" i="10"/>
  <c r="N42" i="10"/>
  <c r="M41" i="10"/>
  <c r="L40" i="10"/>
  <c r="K39" i="10"/>
  <c r="J38" i="10"/>
  <c r="N34" i="10"/>
  <c r="M33" i="10"/>
  <c r="L32" i="10"/>
  <c r="K31" i="10"/>
  <c r="J30" i="10"/>
  <c r="N26" i="10"/>
  <c r="M25" i="10"/>
  <c r="L24" i="10"/>
  <c r="K23" i="10"/>
  <c r="J22" i="10"/>
  <c r="N18" i="10"/>
  <c r="M17" i="10"/>
  <c r="L16" i="10"/>
  <c r="K15" i="10"/>
  <c r="J14" i="10"/>
  <c r="K50" i="10"/>
  <c r="M48" i="10"/>
  <c r="J47" i="10"/>
  <c r="N43" i="10"/>
  <c r="M42" i="10"/>
  <c r="L41" i="10"/>
  <c r="K40" i="10"/>
  <c r="J39" i="10"/>
  <c r="N35" i="10"/>
  <c r="M34" i="10"/>
  <c r="L33" i="10"/>
  <c r="K32" i="10"/>
  <c r="J31" i="10"/>
  <c r="N27" i="10"/>
  <c r="M26" i="10"/>
  <c r="L25" i="10"/>
  <c r="K24" i="10"/>
  <c r="J23" i="10"/>
  <c r="N19" i="10"/>
  <c r="M18" i="10"/>
  <c r="L17" i="10"/>
  <c r="K16" i="10"/>
  <c r="J15" i="10"/>
  <c r="N11" i="10"/>
  <c r="J50" i="10"/>
  <c r="L48" i="10"/>
  <c r="N44" i="10"/>
  <c r="M43" i="10"/>
  <c r="L42" i="10"/>
  <c r="K41" i="10"/>
  <c r="J40" i="10"/>
  <c r="N36" i="10"/>
  <c r="M35" i="10"/>
  <c r="L34" i="10"/>
  <c r="K33" i="10"/>
  <c r="J32" i="10"/>
  <c r="N28" i="10"/>
  <c r="M27" i="10"/>
  <c r="L26" i="10"/>
  <c r="K25" i="10"/>
  <c r="J24" i="10"/>
  <c r="N20" i="10"/>
  <c r="M19" i="10"/>
  <c r="L18" i="10"/>
  <c r="K17" i="10"/>
  <c r="J16" i="10"/>
  <c r="N12" i="10"/>
  <c r="M11" i="10"/>
  <c r="N49" i="10"/>
  <c r="K48" i="10"/>
  <c r="N45" i="10"/>
  <c r="M44" i="10"/>
  <c r="L43" i="10"/>
  <c r="K42" i="10"/>
  <c r="J41" i="10"/>
  <c r="N37" i="10"/>
  <c r="M36" i="10"/>
  <c r="L35" i="10"/>
  <c r="K34" i="10"/>
  <c r="J33" i="10"/>
  <c r="N29" i="10"/>
  <c r="M28" i="10"/>
  <c r="L27" i="10"/>
  <c r="K26" i="10"/>
  <c r="J25" i="10"/>
  <c r="N21" i="10"/>
  <c r="M20" i="10"/>
  <c r="L19" i="10"/>
  <c r="K18" i="10"/>
  <c r="J17" i="10"/>
  <c r="N13" i="10"/>
  <c r="M12" i="10"/>
  <c r="L11" i="10"/>
  <c r="M49" i="10"/>
  <c r="J48" i="10"/>
  <c r="N46" i="10"/>
  <c r="M45" i="10"/>
  <c r="L44" i="10"/>
  <c r="K43" i="10"/>
  <c r="J42" i="10"/>
  <c r="N38" i="10"/>
  <c r="M37" i="10"/>
  <c r="L36" i="10"/>
  <c r="K35" i="10"/>
  <c r="J34" i="10"/>
  <c r="N30" i="10"/>
  <c r="M29" i="10"/>
  <c r="L28" i="10"/>
  <c r="K27" i="10"/>
  <c r="J26" i="10"/>
  <c r="N22" i="10"/>
  <c r="M21" i="10"/>
  <c r="L20" i="10"/>
  <c r="K19" i="10"/>
  <c r="J18" i="10"/>
  <c r="N14" i="10"/>
  <c r="M13" i="10"/>
  <c r="L12" i="10"/>
  <c r="K11" i="10"/>
  <c r="L49" i="10"/>
  <c r="N47" i="10"/>
  <c r="M46" i="10"/>
  <c r="L45" i="10"/>
  <c r="K44" i="10"/>
  <c r="J43" i="10"/>
  <c r="N39" i="10"/>
  <c r="M38" i="10"/>
  <c r="L37" i="10"/>
  <c r="K36" i="10"/>
  <c r="J35" i="10"/>
  <c r="N31" i="10"/>
  <c r="M30" i="10"/>
  <c r="L29" i="10"/>
  <c r="K28" i="10"/>
  <c r="J27" i="10"/>
  <c r="N23" i="10"/>
  <c r="M22" i="10"/>
  <c r="L21" i="10"/>
  <c r="K20" i="10"/>
  <c r="J19" i="10"/>
  <c r="N15" i="10"/>
  <c r="M14" i="10"/>
  <c r="L13" i="10"/>
  <c r="K12" i="10"/>
  <c r="J11" i="10"/>
  <c r="C43" i="6"/>
  <c r="C23" i="6"/>
  <c r="D23" i="6" s="1"/>
  <c r="C28" i="6"/>
  <c r="G8" i="6"/>
  <c r="C38" i="6"/>
  <c r="F26" i="5"/>
  <c r="G34" i="5"/>
  <c r="G39" i="5"/>
  <c r="G45" i="5"/>
  <c r="D4" i="2"/>
  <c r="C36" i="6"/>
  <c r="C44" i="6"/>
  <c r="F27" i="5"/>
  <c r="G13" i="6"/>
  <c r="F8" i="5"/>
  <c r="G31" i="5"/>
  <c r="G35" i="5"/>
  <c r="G47" i="5"/>
  <c r="G48" i="5"/>
  <c r="A6" i="7"/>
  <c r="E16" i="6"/>
  <c r="I12" i="5" l="1"/>
  <c r="H45" i="5"/>
  <c r="H38" i="5"/>
  <c r="I33" i="5"/>
  <c r="D44" i="6"/>
  <c r="G5" i="10"/>
  <c r="D36" i="6"/>
  <c r="D28" i="6"/>
  <c r="H13" i="6"/>
  <c r="I35" i="5"/>
  <c r="H35" i="5"/>
  <c r="H27" i="5"/>
  <c r="I27" i="5"/>
  <c r="D27" i="6"/>
  <c r="G8" i="2"/>
  <c r="I34" i="5"/>
  <c r="H34" i="5"/>
  <c r="I22" i="5"/>
  <c r="H22" i="5"/>
  <c r="G22" i="5"/>
  <c r="I41" i="5"/>
  <c r="E23" i="8"/>
  <c r="F23" i="8" s="1"/>
  <c r="E22" i="8"/>
  <c r="F22" i="8" s="1"/>
  <c r="B9" i="8"/>
  <c r="E21" i="8"/>
  <c r="F21" i="8" s="1"/>
  <c r="E20" i="8"/>
  <c r="F20" i="8" s="1"/>
  <c r="B16" i="8"/>
  <c r="I16" i="5"/>
  <c r="H15" i="5"/>
  <c r="H19" i="5"/>
  <c r="H37" i="5"/>
  <c r="I10" i="5"/>
  <c r="I17" i="5"/>
  <c r="G8" i="5"/>
  <c r="I20" i="5"/>
  <c r="H33" i="5"/>
  <c r="I51" i="5"/>
  <c r="H51" i="5"/>
  <c r="I14" i="5"/>
  <c r="H14" i="5"/>
  <c r="G14" i="5"/>
  <c r="I47" i="5"/>
  <c r="H47" i="5"/>
  <c r="I49" i="5"/>
  <c r="H49" i="5"/>
  <c r="G49" i="5"/>
  <c r="D37" i="6"/>
  <c r="I30" i="5"/>
  <c r="H30" i="5"/>
  <c r="G30" i="5"/>
  <c r="D31" i="6"/>
  <c r="I31" i="5"/>
  <c r="I19" i="5"/>
  <c r="H36" i="5"/>
  <c r="I7" i="5"/>
  <c r="H12" i="5"/>
  <c r="I24" i="5"/>
  <c r="G17" i="6"/>
  <c r="E17" i="6"/>
  <c r="G7" i="2" s="1"/>
  <c r="H4" i="6"/>
  <c r="H9" i="5"/>
  <c r="I36" i="5"/>
  <c r="I54" i="5"/>
  <c r="H54" i="5"/>
  <c r="G54" i="5"/>
  <c r="I8" i="5"/>
  <c r="H8" i="5"/>
  <c r="H7" i="6"/>
  <c r="I23" i="5"/>
  <c r="I46" i="5"/>
  <c r="H9" i="6"/>
  <c r="H5" i="6"/>
  <c r="I50" i="5"/>
  <c r="H50" i="5"/>
  <c r="G50" i="5"/>
  <c r="G51" i="5"/>
  <c r="D29" i="6"/>
  <c r="H18" i="5"/>
  <c r="I9" i="5"/>
  <c r="H13" i="5"/>
  <c r="H6" i="5"/>
  <c r="H24" i="5"/>
  <c r="A7" i="7"/>
  <c r="D6" i="7"/>
  <c r="C6" i="7"/>
  <c r="B6" i="7"/>
  <c r="G52" i="5"/>
  <c r="I52" i="5"/>
  <c r="H52" i="5"/>
  <c r="D38" i="6"/>
  <c r="I45" i="5"/>
  <c r="H8" i="6"/>
  <c r="I53" i="5"/>
  <c r="H11" i="6"/>
  <c r="I48" i="5"/>
  <c r="H48" i="5"/>
  <c r="H55" i="5"/>
  <c r="H6" i="6"/>
  <c r="I25" i="5"/>
  <c r="H25" i="5"/>
  <c r="G25" i="5"/>
  <c r="H12" i="6"/>
  <c r="I18" i="5"/>
  <c r="I13" i="5"/>
  <c r="G3" i="5"/>
  <c r="J34" i="5" s="1"/>
  <c r="I11" i="5"/>
  <c r="J26" i="5"/>
  <c r="I26" i="5"/>
  <c r="H26" i="5"/>
  <c r="H29" i="5"/>
  <c r="I29" i="5"/>
  <c r="G29" i="5"/>
  <c r="H46" i="5"/>
  <c r="I43" i="5"/>
  <c r="H43" i="5"/>
  <c r="G27" i="5"/>
  <c r="I38" i="5"/>
  <c r="D22" i="6"/>
  <c r="D30" i="6"/>
  <c r="I55" i="5"/>
  <c r="H10" i="6"/>
  <c r="G44" i="5"/>
  <c r="I44" i="5"/>
  <c r="H44" i="5"/>
  <c r="D21" i="6"/>
  <c r="I15" i="5"/>
  <c r="H21" i="5"/>
  <c r="H23" i="5"/>
  <c r="I6" i="5"/>
  <c r="H31" i="5"/>
  <c r="H32" i="5"/>
  <c r="I32" i="5"/>
  <c r="D35" i="6"/>
  <c r="I21" i="5"/>
  <c r="I37" i="5"/>
  <c r="H17" i="5"/>
  <c r="I42" i="5"/>
  <c r="H42" i="5"/>
  <c r="G42" i="5"/>
  <c r="D43" i="6"/>
  <c r="I39" i="5"/>
  <c r="H39" i="5"/>
  <c r="H53" i="5"/>
  <c r="G26" i="5"/>
  <c r="I40" i="5"/>
  <c r="H40" i="5"/>
  <c r="G28" i="5"/>
  <c r="I28" i="5"/>
  <c r="H28" i="5"/>
  <c r="H41" i="5"/>
  <c r="D42" i="6"/>
  <c r="H16" i="5"/>
  <c r="H10" i="5"/>
  <c r="H7" i="5"/>
  <c r="H20" i="5"/>
  <c r="H11" i="5"/>
  <c r="J51" i="5" l="1"/>
  <c r="J43" i="5"/>
  <c r="J28" i="5"/>
  <c r="J30" i="5"/>
  <c r="J39" i="5"/>
  <c r="J35" i="5"/>
  <c r="J6" i="5"/>
  <c r="J17" i="5"/>
  <c r="J37" i="5"/>
  <c r="J21" i="5"/>
  <c r="J23" i="5"/>
  <c r="J15" i="5"/>
  <c r="J55" i="5"/>
  <c r="J11" i="5"/>
  <c r="J20" i="5"/>
  <c r="J13" i="5"/>
  <c r="J18" i="5"/>
  <c r="J53" i="5"/>
  <c r="J45" i="5"/>
  <c r="J9" i="5"/>
  <c r="J38" i="5"/>
  <c r="J12" i="5"/>
  <c r="J36" i="5"/>
  <c r="J41" i="5"/>
  <c r="J24" i="5"/>
  <c r="J7" i="5"/>
  <c r="J19" i="5"/>
  <c r="J10" i="5"/>
  <c r="J16" i="5"/>
  <c r="J31" i="5"/>
  <c r="J46" i="5"/>
  <c r="J33" i="5"/>
  <c r="J40" i="5"/>
  <c r="J47" i="5"/>
  <c r="J22" i="5"/>
  <c r="J32" i="5"/>
  <c r="A7" i="3"/>
  <c r="A8" i="7"/>
  <c r="D7" i="7"/>
  <c r="C7" i="7"/>
  <c r="B7" i="7"/>
  <c r="A22" i="3"/>
  <c r="J29" i="5"/>
  <c r="A16" i="3"/>
  <c r="J42" i="5"/>
  <c r="J27" i="5"/>
  <c r="E6" i="7"/>
  <c r="J44" i="5"/>
  <c r="J48" i="5"/>
  <c r="J52" i="5"/>
  <c r="J50" i="5"/>
  <c r="J8" i="5"/>
  <c r="J14" i="5"/>
  <c r="B11" i="8"/>
  <c r="B10" i="8"/>
  <c r="T14" i="5"/>
  <c r="T10" i="5"/>
  <c r="T6" i="5"/>
  <c r="S14" i="5"/>
  <c r="U13" i="5"/>
  <c r="S10" i="5"/>
  <c r="U9" i="5"/>
  <c r="S6" i="5"/>
  <c r="T13" i="5"/>
  <c r="T9" i="5"/>
  <c r="S13" i="5"/>
  <c r="U12" i="5"/>
  <c r="S9" i="5"/>
  <c r="U8" i="5"/>
  <c r="T12" i="5"/>
  <c r="T8" i="5"/>
  <c r="U15" i="5"/>
  <c r="S12" i="5"/>
  <c r="U11" i="5"/>
  <c r="S8" i="5"/>
  <c r="U7" i="5"/>
  <c r="T15" i="5"/>
  <c r="T11" i="5"/>
  <c r="T7" i="5"/>
  <c r="S15" i="5"/>
  <c r="U14" i="5"/>
  <c r="S11" i="5"/>
  <c r="U10" i="5"/>
  <c r="S7" i="5"/>
  <c r="U6" i="5"/>
  <c r="J25" i="5"/>
  <c r="J54" i="5"/>
  <c r="J49" i="5"/>
  <c r="G4" i="2" l="1"/>
  <c r="D59" i="5"/>
  <c r="B9" i="2" s="1"/>
  <c r="D9" i="2" s="1"/>
  <c r="D58" i="5"/>
  <c r="A10" i="3" s="1"/>
  <c r="C8" i="7"/>
  <c r="B8" i="7"/>
  <c r="A9" i="7"/>
  <c r="D8" i="7"/>
  <c r="E7" i="7"/>
  <c r="E8" i="7" l="1"/>
  <c r="D9" i="7"/>
  <c r="C9" i="7"/>
  <c r="B9" i="7"/>
  <c r="A10" i="7"/>
  <c r="E9" i="7" l="1"/>
  <c r="A11" i="7"/>
  <c r="D10" i="7"/>
  <c r="C10" i="7"/>
  <c r="B10" i="7"/>
  <c r="E10" i="7" l="1"/>
  <c r="A12" i="7"/>
  <c r="D11" i="7"/>
  <c r="C11" i="7"/>
  <c r="B11" i="7"/>
  <c r="E11" i="7" l="1"/>
  <c r="C12" i="7"/>
  <c r="B12" i="7"/>
  <c r="A13" i="7"/>
  <c r="D12" i="7"/>
  <c r="E12" i="7" l="1"/>
  <c r="D13" i="7"/>
  <c r="C13" i="7"/>
  <c r="B13" i="7"/>
  <c r="A14" i="7"/>
  <c r="A15" i="7" l="1"/>
  <c r="D14" i="7"/>
  <c r="C14" i="7"/>
  <c r="E14" i="7" s="1"/>
  <c r="B14" i="7"/>
  <c r="E13" i="7"/>
  <c r="A16" i="7" l="1"/>
  <c r="D15" i="7"/>
  <c r="C15" i="7"/>
  <c r="B15" i="7"/>
  <c r="C16" i="7" l="1"/>
  <c r="E16" i="7" s="1"/>
  <c r="B16" i="7"/>
  <c r="A17" i="7"/>
  <c r="D16" i="7"/>
  <c r="E15" i="7"/>
  <c r="A27" i="7" l="1"/>
  <c r="D17" i="7"/>
  <c r="C17" i="7"/>
  <c r="E17" i="7" s="1"/>
  <c r="B17" i="7"/>
  <c r="A29" i="7"/>
  <c r="A28" i="7"/>
  <c r="B23" i="7"/>
  <c r="B22" i="7"/>
  <c r="B24" i="7" s="1"/>
  <c r="B21" i="7"/>
  <c r="G9" i="2"/>
  <c r="B20" i="7"/>
  <c r="C27" i="7" l="1"/>
  <c r="H14" i="7"/>
  <c r="H10" i="7"/>
  <c r="H6" i="7"/>
  <c r="H15" i="7"/>
  <c r="H11" i="7"/>
  <c r="H7" i="7"/>
  <c r="C29" i="7"/>
  <c r="H16" i="7"/>
  <c r="H12" i="7"/>
  <c r="H8" i="7"/>
  <c r="C28" i="7"/>
  <c r="H17" i="7"/>
  <c r="H13" i="7"/>
  <c r="H9" i="7"/>
  <c r="H5" i="7"/>
  <c r="A19" i="3"/>
</calcChain>
</file>

<file path=xl/sharedStrings.xml><?xml version="1.0" encoding="utf-8"?>
<sst xmlns="http://schemas.openxmlformats.org/spreadsheetml/2006/main" count="2601" uniqueCount="534">
  <si>
    <t>Sales Dashboard - Apr 2024 to Apr 2025</t>
  </si>
  <si>
    <t>KPI</t>
  </si>
  <si>
    <t>Actual</t>
  </si>
  <si>
    <t>Target</t>
  </si>
  <si>
    <t>% of Target</t>
  </si>
  <si>
    <t>Highlights</t>
  </si>
  <si>
    <t>Total Revenue</t>
  </si>
  <si>
    <t>Top customer</t>
  </si>
  <si>
    <t>Orders</t>
  </si>
  <si>
    <t>Most frequent buyer</t>
  </si>
  <si>
    <t>Units Sold</t>
  </si>
  <si>
    <t>Most ordered product</t>
  </si>
  <si>
    <t>Avg Order Value</t>
  </si>
  <si>
    <t>Top revenue product</t>
  </si>
  <si>
    <t>Active Customers</t>
  </si>
  <si>
    <t>Top region</t>
  </si>
  <si>
    <t>High-Value Cust. Revenue Share</t>
  </si>
  <si>
    <t>Peak month</t>
  </si>
  <si>
    <t>Report refreshed</t>
  </si>
  <si>
    <t>Final Report - Insights and Story</t>
  </si>
  <si>
    <t>1. The headline</t>
  </si>
  <si>
    <t>2. What sells</t>
  </si>
  <si>
    <t>3. Who buys</t>
  </si>
  <si>
    <t>4. Cross-sell</t>
  </si>
  <si>
    <t>5. Where</t>
  </si>
  <si>
    <t>6. Trend</t>
  </si>
  <si>
    <t>7. What-if</t>
  </si>
  <si>
    <t>8. Recommendations</t>
  </si>
  <si>
    <t>Protect high-value accounts with loyalty offers; bundle Electronics with Furniture for the cross-over customers; use the trend only as a rough guide because only about a year of data exists; revisit KPI targets (yellow cells) each quarter.</t>
  </si>
  <si>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</si>
  <si>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</si>
  <si>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</si>
  <si>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</si>
  <si>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</si>
  <si>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</si>
  <si>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</si>
  <si>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</si>
  <si>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</si>
  <si>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</si>
  <si>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</si>
  <si>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</si>
  <si>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</si>
  <si>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</si>
  <si>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Month_End</t>
  </si>
  <si>
    <t>Month_Label</t>
  </si>
  <si>
    <t>Days_Since_Purchase</t>
  </si>
  <si>
    <t>Tenure_Months_At_Purchase</t>
  </si>
  <si>
    <t>Customer_Code</t>
  </si>
  <si>
    <t>Filter_Seq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</si>
  <si>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</si>
  <si>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</si>
  <si>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</si>
  <si>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</si>
  <si>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</si>
  <si>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</si>
  <si>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</si>
  <si>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</si>
  <si>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</si>
  <si>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</si>
  <si>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</si>
  <si>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</si>
  <si>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</si>
  <si>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</si>
  <si>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</si>
  <si>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</si>
  <si>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</si>
  <si>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</si>
  <si>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</si>
  <si>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</si>
  <si>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</si>
  <si>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</si>
  <si>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</si>
  <si>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</si>
  <si>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</si>
  <si>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</si>
  <si>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</si>
  <si>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</si>
  <si>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</si>
  <si>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</si>
  <si>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</si>
  <si>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</si>
  <si>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</si>
  <si>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</si>
  <si>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</si>
  <si>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</si>
  <si>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</si>
  <si>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</si>
  <si>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</si>
  <si>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</si>
  <si>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</si>
  <si>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</si>
  <si>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</si>
  <si>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</si>
  <si>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</si>
  <si>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</si>
  <si>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</si>
  <si>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</si>
  <si>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</si>
  <si>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</si>
  <si>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TRX0138</t>
  </si>
  <si>
    <t>CUST022</t>
  </si>
  <si>
    <t>Susan Green</t>
  </si>
  <si>
    <t>TRX0185</t>
  </si>
  <si>
    <t>CUST026</t>
  </si>
  <si>
    <t>Karen Hill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</si>
  <si>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</si>
  <si>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</si>
  <si>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</si>
  <si>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</si>
  <si>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</si>
  <si>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</si>
  <si>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</si>
  <si>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</si>
  <si>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</si>
  <si>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</si>
  <si>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</si>
  <si>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</si>
  <si>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</si>
  <si>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</si>
  <si>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</si>
  <si>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</si>
  <si>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</si>
  <si>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</si>
  <si>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TRX0122</t>
  </si>
  <si>
    <t>TRX0134</t>
  </si>
  <si>
    <t>CUST010</t>
  </si>
  <si>
    <t>Maria Garcia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</si>
  <si>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</si>
  <si>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</si>
  <si>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</si>
  <si>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</si>
  <si>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</si>
  <si>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</si>
  <si>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</si>
  <si>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</si>
  <si>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</si>
  <si>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</si>
  <si>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</si>
  <si>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</si>
  <si>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</si>
  <si>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</si>
  <si>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</si>
  <si>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</si>
  <si>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</si>
  <si>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</si>
  <si>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TRX0004</t>
  </si>
  <si>
    <t>P010</t>
  </si>
  <si>
    <t>Keyboard</t>
  </si>
  <si>
    <t>TRX0040</t>
  </si>
  <si>
    <t>TRX0235</t>
  </si>
  <si>
    <t>CUST014</t>
  </si>
  <si>
    <t>Linda Martin</t>
  </si>
  <si>
    <t>P004</t>
  </si>
  <si>
    <t>Coffee Maker</t>
  </si>
  <si>
    <t>TRX0063</t>
  </si>
  <si>
    <t>CUST030</t>
  </si>
  <si>
    <t>Helen Roberts</t>
  </si>
  <si>
    <t>TRX0029</t>
  </si>
  <si>
    <t>P006</t>
  </si>
  <si>
    <t>Office Chair</t>
  </si>
  <si>
    <t>TRX0241</t>
  </si>
  <si>
    <t>CUST029</t>
  </si>
  <si>
    <t>Edward Mitchell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</si>
  <si>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</si>
  <si>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</si>
  <si>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</si>
  <si>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</si>
  <si>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</si>
  <si>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</si>
  <si>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</si>
  <si>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</si>
  <si>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</si>
  <si>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</si>
  <si>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</si>
  <si>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</si>
  <si>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</si>
  <si>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</si>
  <si>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</si>
  <si>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</si>
  <si>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</si>
  <si>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</si>
  <si>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</si>
  <si>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</si>
  <si>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</si>
  <si>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TRX0117</t>
  </si>
  <si>
    <t>TRX0128</t>
  </si>
  <si>
    <t>CUST040</t>
  </si>
  <si>
    <t>Sharon Butler</t>
  </si>
  <si>
    <t>TRX0208</t>
  </si>
  <si>
    <t>CUST004</t>
  </si>
  <si>
    <t>Sarah Davis</t>
  </si>
  <si>
    <t>TRX0121</t>
  </si>
  <si>
    <t>CUST028</t>
  </si>
  <si>
    <t>Betty Campbell</t>
  </si>
  <si>
    <t>TRX0234</t>
  </si>
  <si>
    <t>TRX0220</t>
  </si>
  <si>
    <t>TRX0093</t>
  </si>
  <si>
    <t>CUST050</t>
  </si>
  <si>
    <t>Julie Foster</t>
  </si>
  <si>
    <t>TRX0088</t>
  </si>
  <si>
    <t>TRX0044</t>
  </si>
  <si>
    <t>TRX0115</t>
  </si>
  <si>
    <t>TRX0154</t>
  </si>
  <si>
    <t>TRX0061</t>
  </si>
  <si>
    <t>TRX0150</t>
  </si>
  <si>
    <t>TRX0025</t>
  </si>
  <si>
    <t>CUST049</t>
  </si>
  <si>
    <t>Raymond Ross</t>
  </si>
  <si>
    <t>TRX0007</t>
  </si>
  <si>
    <t>TRX0078</t>
  </si>
  <si>
    <t>TRX0104</t>
  </si>
  <si>
    <t>TRX0184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</si>
  <si>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</si>
  <si>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</si>
  <si>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</si>
  <si>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</si>
  <si>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</si>
  <si>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</si>
  <si>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</si>
  <si>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</si>
  <si>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</si>
  <si>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</si>
  <si>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</si>
  <si>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</si>
  <si>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</si>
  <si>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</si>
  <si>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</si>
  <si>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</si>
  <si>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</si>
  <si>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</si>
  <si>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</si>
  <si>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</si>
  <si>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</si>
  <si>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</si>
  <si>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</si>
  <si>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</si>
  <si>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</si>
  <si>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</si>
  <si>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</si>
  <si>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</si>
  <si>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</si>
  <si>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TRX0002</t>
  </si>
  <si>
    <t>TRX0157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</si>
  <si>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</si>
  <si>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</si>
  <si>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</si>
  <si>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</si>
  <si>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</si>
  <si>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</si>
  <si>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</si>
  <si>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</si>
  <si>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</si>
  <si>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</si>
  <si>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</si>
  <si>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</si>
  <si>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</si>
  <si>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</si>
  <si>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TRX0031</t>
  </si>
  <si>
    <t>TRX0132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</si>
  <si>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</si>
  <si>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</si>
  <si>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</si>
  <si>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</si>
  <si>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</si>
  <si>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</si>
  <si>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</si>
  <si>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</si>
  <si>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</si>
  <si>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</si>
  <si>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</si>
  <si>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</si>
  <si>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TRX0074</t>
  </si>
  <si>
    <t>TRX0099</t>
  </si>
  <si>
    <t>TRX0225</t>
  </si>
  <si>
    <t>TRX0100</t>
  </si>
  <si>
    <t>TRX0112</t>
  </si>
  <si>
    <t>TRX0142</t>
  </si>
  <si>
    <t>TRX0161</t>
  </si>
  <si>
    <t>TRX0108</t>
  </si>
  <si>
    <t>TRX0211</t>
  </si>
  <si>
    <t>TRX0005</t>
  </si>
  <si>
    <t>CUST042</t>
  </si>
  <si>
    <t>Ruth Brooks</t>
  </si>
  <si>
    <t>TRX0054</t>
  </si>
  <si>
    <t>TRX0195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</si>
  <si>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</si>
  <si>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</si>
  <si>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</si>
  <si>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</si>
  <si>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</si>
  <si>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</si>
  <si>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</si>
  <si>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</si>
  <si>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</si>
  <si>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</si>
  <si>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</si>
  <si>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</si>
  <si>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</si>
  <si>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</si>
  <si>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</si>
  <si>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</si>
  <si>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</si>
  <si>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</si>
  <si>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TRX0034</t>
  </si>
  <si>
    <t>TRX0173</t>
  </si>
  <si>
    <t>TRX0189</t>
  </si>
  <si>
    <t>TRX0190</t>
  </si>
  <si>
    <t>TRX0079</t>
  </si>
  <si>
    <t>TRX0009</t>
  </si>
  <si>
    <t>TRX0095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</si>
  <si>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</si>
  <si>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</si>
  <si>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</si>
  <si>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</si>
  <si>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</si>
  <si>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</si>
  <si>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</si>
  <si>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</si>
  <si>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TRX0076</t>
  </si>
  <si>
    <t>TRX0172</t>
  </si>
  <si>
    <t>TRX0149</t>
  </si>
  <si>
    <t>TRX0210</t>
  </si>
  <si>
    <t>TRX0033</t>
  </si>
  <si>
    <t>TRX0073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</si>
  <si>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</si>
  <si>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</si>
  <si>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</si>
  <si>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</si>
  <si>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</si>
  <si>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</si>
  <si>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</si>
  <si>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</si>
  <si>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</si>
  <si>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</si>
  <si>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</si>
  <si>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</si>
  <si>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</si>
  <si>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TRX0036</t>
  </si>
  <si>
    <t>TRX0082</t>
  </si>
  <si>
    <t>CUST005</t>
  </si>
  <si>
    <t>James Johnson</t>
  </si>
  <si>
    <t>TRX0180</t>
  </si>
  <si>
    <t>TRX0198</t>
  </si>
  <si>
    <t>TRX0032</t>
  </si>
  <si>
    <t>TRX0081</t>
  </si>
  <si>
    <t>TRX0224</t>
  </si>
  <si>
    <t>TRX0028</t>
  </si>
  <si>
    <t>TRX0163</t>
  </si>
  <si>
    <t>TRX0183</t>
  </si>
  <si>
    <t>TRX0046</t>
  </si>
  <si>
    <t>TRX0008</t>
  </si>
  <si>
    <t>TRX0164</t>
  </si>
  <si>
    <t>TRX0171</t>
  </si>
  <si>
    <t>TRX0143</t>
  </si>
  <si>
    <t>TRX0165</t>
  </si>
  <si>
    <t>TRX0147</t>
  </si>
  <si>
    <t>TRX0156</t>
  </si>
  <si>
    <t>TRX0207</t>
  </si>
  <si>
    <t>TRX0056</t>
  </si>
  <si>
    <t>TRX0026</t>
  </si>
  <si>
    <t>CUST037</t>
  </si>
  <si>
    <t>Arthur Edwards</t>
  </si>
  <si>
    <t>TRX0091</t>
  </si>
  <si>
    <t>TRX0237</t>
  </si>
  <si>
    <t>TRX0125</t>
  </si>
  <si>
    <t>TRX0223</t>
  </si>
  <si>
    <t>TRX0243</t>
  </si>
  <si>
    <t>TRX0084</t>
  </si>
  <si>
    <t>TRX0238</t>
  </si>
  <si>
    <t>TRX0022</t>
  </si>
  <si>
    <t>TRX0102</t>
  </si>
  <si>
    <t>TRX0051</t>
  </si>
  <si>
    <t>TRX0087</t>
  </si>
  <si>
    <t>TRX0107</t>
  </si>
  <si>
    <t>TRX0059</t>
  </si>
  <si>
    <t>TRX0072</t>
  </si>
  <si>
    <t>TRX0106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</si>
  <si>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</si>
  <si>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</si>
  <si>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</si>
  <si>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</si>
  <si>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</si>
  <si>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</si>
  <si>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</si>
  <si>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</si>
  <si>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</si>
  <si>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</si>
  <si>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</si>
  <si>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</si>
  <si>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</si>
  <si>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</si>
  <si>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</si>
  <si>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</si>
  <si>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</si>
  <si>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TRX0168</t>
  </si>
  <si>
    <t>TRX0179</t>
  </si>
  <si>
    <t>TRX0214</t>
  </si>
  <si>
    <t>TRX0221</t>
  </si>
  <si>
    <t>TRX0083</t>
  </si>
  <si>
    <t>TRX0151</t>
  </si>
  <si>
    <t>TRX0047</t>
  </si>
  <si>
    <t>TRX0062</t>
  </si>
  <si>
    <t>TRX0200</t>
  </si>
  <si>
    <t>TRX0182</t>
  </si>
  <si>
    <t>TRX0048</t>
  </si>
  <si>
    <t>TRX0229</t>
  </si>
  <si>
    <t>TRX0227</t>
  </si>
  <si>
    <t>TRX0226</t>
  </si>
  <si>
    <t>TRX0053</t>
  </si>
  <si>
    <t>TRX0175</t>
  </si>
  <si>
    <t>TRX0233</t>
  </si>
  <si>
    <t>TRX0016</t>
  </si>
  <si>
    <t>TRX0186</t>
  </si>
  <si>
    <t>TRX0199</t>
  </si>
  <si>
    <t>TRX0038</t>
  </si>
  <si>
    <t>TRX0014</t>
  </si>
  <si>
    <t>TRX0003</t>
  </si>
  <si>
    <t>TRX0013</t>
  </si>
  <si>
    <t>TRX0124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</si>
  <si>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</si>
  <si>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</si>
  <si>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</si>
  <si>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</si>
  <si>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</si>
  <si>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</si>
  <si>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</si>
  <si>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</si>
  <si>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</si>
  <si>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</si>
  <si>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</si>
  <si>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</si>
  <si>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TRX0064</t>
  </si>
  <si>
    <t>TRX0103</t>
  </si>
  <si>
    <t>TRX0120</t>
  </si>
  <si>
    <t>Customer Analysis - GroupBy with formulas</t>
  </si>
  <si>
    <t>One row per customer. Every number is SUMIF / COUNTIF over the Data sheet.</t>
  </si>
  <si>
    <t>High-value threshold (percentile of revenue)</t>
  </si>
  <si>
    <t>Threshold revenue:</t>
  </si>
  <si>
    <t>Code</t>
  </si>
  <si>
    <t>Units</t>
  </si>
  <si>
    <t>Revenue</t>
  </si>
  <si>
    <t>Share of Revenue</t>
  </si>
  <si>
    <t>Rank</t>
  </si>
  <si>
    <t>Tier</t>
  </si>
  <si>
    <t>Last Purchase</t>
  </si>
  <si>
    <t>Days Since Last</t>
  </si>
  <si>
    <t>Electronics?</t>
  </si>
  <si>
    <t>Furniture?</t>
  </si>
  <si>
    <t>Appliances?</t>
  </si>
  <si>
    <t>Segments Seen</t>
  </si>
  <si>
    <t>Top 10</t>
  </si>
  <si>
    <t>Customer</t>
  </si>
  <si>
    <t>Most frequent (repeating) customer</t>
  </si>
  <si>
    <t>orders</t>
  </si>
  <si>
    <t>High-value customers</t>
  </si>
  <si>
    <t>Revenue share of high-value group</t>
  </si>
  <si>
    <t>Customers who bought BOTH Electronics and Furniture</t>
  </si>
  <si>
    <t>Product, Category, Region and Payment Analysis</t>
  </si>
  <si>
    <t>Product</t>
  </si>
  <si>
    <t>Unit Price</t>
  </si>
  <si>
    <t>% of Revenue</t>
  </si>
  <si>
    <t>Most frequently purchased product (by orders)</t>
  </si>
  <si>
    <t>Most units sold</t>
  </si>
  <si>
    <t>Highest revenue product</t>
  </si>
  <si>
    <t>Payment Method</t>
  </si>
  <si>
    <t>Customer Segment</t>
  </si>
  <si>
    <t>Monthly Trend, Regression and Forecast</t>
  </si>
  <si>
    <t>Start month</t>
  </si>
  <si>
    <t>Month End</t>
  </si>
  <si>
    <t>Month</t>
  </si>
  <si>
    <t>MoM % Change</t>
  </si>
  <si>
    <t>t (month #)</t>
  </si>
  <si>
    <t>Included in Regression?</t>
  </si>
  <si>
    <t>Fitted (trend)</t>
  </si>
  <si>
    <t>No (partial)</t>
  </si>
  <si>
    <t>Yes</t>
  </si>
  <si>
    <t>Linear regression (Revenue = a + b * t), full months t=2..12</t>
  </si>
  <si>
    <t>Slope b (revenue per month)</t>
  </si>
  <si>
    <t>Intercept a</t>
  </si>
  <si>
    <t>R squared</t>
  </si>
  <si>
    <t>Std error of estimate</t>
  </si>
  <si>
    <t>Trend reading</t>
  </si>
  <si>
    <t>Forecast</t>
  </si>
  <si>
    <t>t</t>
  </si>
  <si>
    <t>Forecast revenue</t>
  </si>
  <si>
    <t>Forecast uses t=14,15,16 (May-Jul 2025) - the month after the last month in the data.</t>
  </si>
  <si>
    <t>What-If Analysis - Scenario Manager and Goal Seek</t>
  </si>
  <si>
    <t>Inputs (Scenario Manager changing cells)</t>
  </si>
  <si>
    <t>Price change %</t>
  </si>
  <si>
    <t>Volume change %</t>
  </si>
  <si>
    <t>Discount %</t>
  </si>
  <si>
    <t>Base revenue (all data)</t>
  </si>
  <si>
    <t>Scenario revenue</t>
  </si>
  <si>
    <t>Change vs base</t>
  </si>
  <si>
    <t>Change vs base %</t>
  </si>
  <si>
    <t>Goal Seek setup</t>
  </si>
  <si>
    <t>Target revenue (typed value)</t>
  </si>
  <si>
    <t>Assumption: target is a round number set by the analyst; change it freely.</t>
  </si>
  <si>
    <t>Goal Seek: Set cell B10 / To value B15 / By changing B5</t>
  </si>
  <si>
    <t>Check - exact price change needed (algebra)</t>
  </si>
  <si>
    <t>Scenario comparison (pre-built, formula driven)</t>
  </si>
  <si>
    <t>Scenario</t>
  </si>
  <si>
    <t>Price %</t>
  </si>
  <si>
    <t>Volume %</t>
  </si>
  <si>
    <t>vs Base</t>
  </si>
  <si>
    <t>Base</t>
  </si>
  <si>
    <t>Optimistic</t>
  </si>
  <si>
    <t>Pessimistic</t>
  </si>
  <si>
    <t>Promo push</t>
  </si>
  <si>
    <t>Timestamps - NOW, TODAY and a self-freezing timestamp</t>
  </si>
  <si>
    <t>Iterative calculation is switched on in this file (File &gt; Options &gt; Formulas &gt; Enable iterative calculation).</t>
  </si>
  <si>
    <t>Live clock (NOW)</t>
  </si>
  <si>
    <t>Today (TODAY)</t>
  </si>
  <si>
    <t>Latest transaction in data</t>
  </si>
  <si>
    <t>Days since latest transaction</t>
  </si>
  <si>
    <t>Data span (years, months, days)</t>
  </si>
  <si>
    <t>Self-freezing timestamp (iterative)</t>
  </si>
  <si>
    <t>Entry (type anything)</t>
  </si>
  <si>
    <t>Timestamp frozen when entry typed</t>
  </si>
  <si>
    <t>How it works: B refers to itself. Once NOW() is stored it keeps its own old value, so it stops changing. Delete the entry to reset.</t>
  </si>
  <si>
    <t>Compare Two Lists and Multi-value Filter</t>
  </si>
  <si>
    <t>List A: Electronics buyers</t>
  </si>
  <si>
    <t>List B: Furniture buyers</t>
  </si>
  <si>
    <t>Matches (in both lists)</t>
  </si>
  <si>
    <t>Abbrev. of match</t>
  </si>
  <si>
    <t>Matches found</t>
  </si>
  <si>
    <t>FILTER-style extraction</t>
  </si>
  <si>
    <t>Only in A</t>
  </si>
  <si>
    <t>Only in B</t>
  </si>
  <si>
    <t>Matching rows</t>
  </si>
  <si>
    <t>Matching revenue</t>
  </si>
  <si>
    <t>#</t>
  </si>
  <si>
    <t>Transaction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</si>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</sst>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\ hh:mm"/>
    <numFmt numFmtId="166" formatCode="yyyy\-mm\-dd"/>
    <numFmt numFmtId="167" formatCode="0.000"/>
    <numFmt numFmtId="168" formatCode="yyyy\-mm\-dd\ hh:mm:ss"/>
  </numFmts>
  <fonts count="10" x14ac:knownFonts="1"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b/>
      <sz val="16"/>
      <color rgb="FFFF0000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33339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4" fillId="2" borderId="0" xfId="0" applyNumberFormat="1" applyFont="1" applyFill="1"/>
    <xf numFmtId="0" fontId="5" fillId="0" borderId="0" xfId="0" applyFont="1"/>
    <xf numFmtId="9" fontId="4" fillId="2" borderId="0" xfId="0" applyNumberFormat="1" applyFont="1" applyFill="1"/>
    <xf numFmtId="166" fontId="1" fillId="0" borderId="0" xfId="0" applyNumberFormat="1" applyFont="1"/>
    <xf numFmtId="4" fontId="1" fillId="0" borderId="0" xfId="0" applyNumberFormat="1" applyFont="1"/>
    <xf numFmtId="166" fontId="4" fillId="2" borderId="0" xfId="0" applyNumberFormat="1" applyFont="1" applyFill="1"/>
    <xf numFmtId="10" fontId="1" fillId="0" borderId="0" xfId="0" applyNumberFormat="1" applyFont="1"/>
    <xf numFmtId="168" fontId="1" fillId="0" borderId="0" xfId="0" applyNumberFormat="1" applyFont="1"/>
    <xf numFmtId="0" fontId="1" fillId="2" borderId="0" xfId="0" applyFont="1" applyFill="1"/>
    <xf numFmtId="0" fontId="7" fillId="3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/>
    <xf numFmtId="164" fontId="4" fillId="0" borderId="1" xfId="0" applyNumberFormat="1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0" fontId="5" fillId="0" borderId="1" xfId="0" applyFont="1" applyBorder="1"/>
    <xf numFmtId="164" fontId="4" fillId="2" borderId="1" xfId="0" applyNumberFormat="1" applyFont="1" applyFill="1" applyBorder="1"/>
    <xf numFmtId="0" fontId="8" fillId="0" borderId="1" xfId="0" applyFont="1" applyBorder="1"/>
    <xf numFmtId="166" fontId="1" fillId="0" borderId="1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4" fontId="1" fillId="0" borderId="1" xfId="0" applyNumberFormat="1" applyFont="1" applyBorder="1"/>
    <xf numFmtId="0" fontId="0" fillId="0" borderId="1" xfId="0" applyBorder="1"/>
    <xf numFmtId="166" fontId="0" fillId="0" borderId="1" xfId="0" applyNumberFormat="1" applyBorder="1"/>
    <xf numFmtId="0" fontId="0" fillId="0" borderId="1" xfId="0" applyFont="1" applyBorder="1"/>
    <xf numFmtId="4" fontId="0" fillId="0" borderId="1" xfId="0" applyNumberFormat="1" applyBorder="1"/>
    <xf numFmtId="0" fontId="0" fillId="0" borderId="2" xfId="0" applyFont="1" applyBorder="1"/>
    <xf numFmtId="0" fontId="0" fillId="0" borderId="2" xfId="0" applyBorder="1"/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8" fontId="1" fillId="0" borderId="1" xfId="0" applyNumberFormat="1" applyFont="1" applyBorder="1"/>
    <xf numFmtId="0" fontId="7" fillId="3" borderId="1" xfId="0" applyFont="1" applyFill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vertical="top" wrapText="1"/>
    </xf>
    <xf numFmtId="0" fontId="8" fillId="0" borderId="0" xfId="0" applyFont="1"/>
    <xf numFmtId="3" fontId="4" fillId="2" borderId="1" xfId="0" applyNumberFormat="1" applyFont="1" applyFill="1" applyBorder="1"/>
    <xf numFmtId="9" fontId="1" fillId="0" borderId="1" xfId="0" applyNumberFormat="1" applyFont="1" applyBorder="1"/>
    <xf numFmtId="1" fontId="1" fillId="0" borderId="1" xfId="0" applyNumberFormat="1" applyFont="1" applyBorder="1"/>
    <xf numFmtId="1" fontId="4" fillId="2" borderId="1" xfId="0" applyNumberFormat="1" applyFont="1" applyFill="1" applyBorder="1"/>
    <xf numFmtId="165" fontId="1" fillId="0" borderId="1" xfId="0" applyNumberFormat="1" applyFont="1" applyBorder="1"/>
    <xf numFmtId="167" fontId="1" fillId="0" borderId="1" xfId="0" applyNumberFormat="1" applyFont="1" applyBorder="1"/>
    <xf numFmtId="0" fontId="4" fillId="2" borderId="1" xfId="0" applyFont="1" applyFill="1" applyBorder="1"/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AA433F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CC8F8E"/>
      <rgbColor rgb="FF1F3864"/>
      <rgbColor rgb="FF339966"/>
      <rgbColor rgb="FF003300"/>
      <rgbColor rgb="FF333300"/>
      <rgbColor rgb="FF993300"/>
      <rgbColor rgb="FFC0504D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Analysis!$A$21:$A$23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</c:strCache>
            </c:strRef>
          </c:cat>
          <c:val>
            <c:numRef>
              <c:f>Analysis!$C$21:$C$23</c:f>
              <c:numCache>
                <c:formatCode>#,##0</c:formatCode>
                <c:ptCount val="3"/>
                <c:pt idx="0">
                  <c:v>171756.05000000013</c:v>
                </c:pt>
                <c:pt idx="1">
                  <c:v>49097.680000000015</c:v>
                </c:pt>
                <c:pt idx="2">
                  <c:v>8338.7399999999961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9-402B-AC47-2622EF338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17185"/>
        <c:axId val="792867"/>
      </c:barChart>
      <c:catAx>
        <c:axId val="213171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867"/>
        <c:crosses val="autoZero"/>
        <c:auto val="1"/>
        <c:lblAlgn val="ctr"/>
        <c:lblOffset val="100"/>
        <c:noMultiLvlLbl val="0"/>
      </c:catAx>
      <c:valAx>
        <c:axId val="7928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3171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Analysis!$A$27:$A$31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Analysis!$C$27:$C$31</c:f>
              <c:numCache>
                <c:formatCode>#,##0</c:formatCode>
                <c:ptCount val="5"/>
                <c:pt idx="0">
                  <c:v>50808.310000000012</c:v>
                </c:pt>
                <c:pt idx="1">
                  <c:v>36398.750000000007</c:v>
                </c:pt>
                <c:pt idx="2">
                  <c:v>59288.389999999992</c:v>
                </c:pt>
                <c:pt idx="3">
                  <c:v>41408.680000000015</c:v>
                </c:pt>
                <c:pt idx="4">
                  <c:v>41288.340000000018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2-480E-9438-35E671831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7173"/>
        <c:axId val="34527421"/>
      </c:barChart>
      <c:catAx>
        <c:axId val="6517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527421"/>
        <c:crosses val="autoZero"/>
        <c:auto val="1"/>
        <c:lblAlgn val="ctr"/>
        <c:lblOffset val="100"/>
        <c:noMultiLvlLbl val="0"/>
      </c:catAx>
      <c:valAx>
        <c:axId val="345274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71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(partial first/last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Monthly_Trend!$C$4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Monthly_Trend!$B$5:$B$17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Monthly_Trend!$C$5:$C$17</c:f>
              <c:numCache>
                <c:formatCode>#,##0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15759.429999999998</c:v>
                </c:pt>
                <c:pt idx="5">
                  <c:v>12989.509999999998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25799.149999999998</c:v>
                </c:pt>
                <c:pt idx="10">
                  <c:v>16069.380000000001</c:v>
                </c:pt>
                <c:pt idx="11">
                  <c:v>19899.379999999997</c:v>
                </c:pt>
                <c:pt idx="12">
                  <c:v>6979.8300000000008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77-4A07-A5C9-B9427F509A50}"/>
            </c:ext>
          </c:extLst>
        </c:ser>
        <c:ser>
          <c:idx val="1"/>
          <c:order val="1"/>
          <c:tx>
            <c:strRef>
              <c:f>Monthly_Trend!$H$4</c:f>
              <c:strCache>
                <c:ptCount val="1"/>
                <c:pt idx="0">
                  <c:v>Fitted (trend)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Monthly_Trend!$B$5:$B$17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Monthly_Trend!$H$5:$H$17</c:f>
              <c:numCache>
                <c:formatCode>#,##0</c:formatCode>
                <c:ptCount val="13"/>
                <c:pt idx="0">
                  <c:v>16269.276</c:v>
                </c:pt>
                <c:pt idx="1">
                  <c:v>16607.628636363635</c:v>
                </c:pt>
                <c:pt idx="2">
                  <c:v>16945.981272727273</c:v>
                </c:pt>
                <c:pt idx="3">
                  <c:v>17284.33390909091</c:v>
                </c:pt>
                <c:pt idx="4">
                  <c:v>17622.686545454548</c:v>
                </c:pt>
                <c:pt idx="5">
                  <c:v>17961.039181818182</c:v>
                </c:pt>
                <c:pt idx="6">
                  <c:v>18299.391818181819</c:v>
                </c:pt>
                <c:pt idx="7">
                  <c:v>18637.744454545456</c:v>
                </c:pt>
                <c:pt idx="8">
                  <c:v>18976.097090909094</c:v>
                </c:pt>
                <c:pt idx="9">
                  <c:v>19314.449727272728</c:v>
                </c:pt>
                <c:pt idx="10">
                  <c:v>19652.802363636365</c:v>
                </c:pt>
                <c:pt idx="11">
                  <c:v>19991.155000000002</c:v>
                </c:pt>
                <c:pt idx="12">
                  <c:v>20329.50763636364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477-4A07-A5C9-B9427F509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265221"/>
        <c:axId val="73989028"/>
      </c:lineChart>
      <c:catAx>
        <c:axId val="822652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89028"/>
        <c:crosses val="autoZero"/>
        <c:auto val="1"/>
        <c:lblAlgn val="ctr"/>
        <c:lblOffset val="100"/>
        <c:noMultiLvlLbl val="0"/>
      </c:catAx>
      <c:valAx>
        <c:axId val="73989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65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Analysis!$C$34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259-444D-B1CA-889A7AC208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259-444D-B1CA-889A7AC208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259-444D-B1CA-889A7AC208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259-444D-B1CA-889A7AC208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Analysis!$A$35:$A$38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Analysis!$C$35:$C$38</c:f>
              <c:numCache>
                <c:formatCode>#,##0</c:formatCode>
                <c:ptCount val="4"/>
                <c:pt idx="0">
                  <c:v>57427.790000000023</c:v>
                </c:pt>
                <c:pt idx="1">
                  <c:v>61447.960000000014</c:v>
                </c:pt>
                <c:pt idx="2">
                  <c:v>52118.310000000005</c:v>
                </c:pt>
                <c:pt idx="3">
                  <c:v>58198.409999999996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59-444D-B1CA-889A7AC2080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Customers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Customers!$T$5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Customers!$S$6:$S$15</c:f>
              <c:strCache>
                <c:ptCount val="10"/>
                <c:pt idx="0">
                  <c:v>Mark Carter</c:v>
                </c:pt>
                <c:pt idx="1">
                  <c:v>Edward Mitchell</c:v>
                </c:pt>
                <c:pt idx="2">
                  <c:v>Barbara Young</c:v>
                </c:pt>
                <c:pt idx="3">
                  <c:v>Patricia Moore</c:v>
                </c:pt>
                <c:pt idx="4">
                  <c:v>Paul Baker</c:v>
                </c:pt>
                <c:pt idx="5">
                  <c:v>Dorothy Nelson</c:v>
                </c:pt>
                <c:pt idx="6">
                  <c:v>Karen Hill</c:v>
                </c:pt>
                <c:pt idx="7">
                  <c:v>Daniel King</c:v>
                </c:pt>
                <c:pt idx="8">
                  <c:v>Lawrence Reed</c:v>
                </c:pt>
                <c:pt idx="9">
                  <c:v>Joseph Jackson</c:v>
                </c:pt>
              </c:strCache>
            </c:strRef>
          </c:cat>
          <c:val>
            <c:numRef>
              <c:f>Customers!$T$6:$T$15</c:f>
              <c:numCache>
                <c:formatCode>#,##0</c:formatCode>
                <c:ptCount val="10"/>
                <c:pt idx="0">
                  <c:v>15659.65</c:v>
                </c:pt>
                <c:pt idx="1">
                  <c:v>11919.77</c:v>
                </c:pt>
                <c:pt idx="2">
                  <c:v>10649.8</c:v>
                </c:pt>
                <c:pt idx="3">
                  <c:v>9799.73</c:v>
                </c:pt>
                <c:pt idx="4">
                  <c:v>8309.739999999998</c:v>
                </c:pt>
                <c:pt idx="5">
                  <c:v>8269.7900000000009</c:v>
                </c:pt>
                <c:pt idx="6">
                  <c:v>8009.7699999999995</c:v>
                </c:pt>
                <c:pt idx="7">
                  <c:v>7309.7999999999993</c:v>
                </c:pt>
                <c:pt idx="8">
                  <c:v>6989.7699999999986</c:v>
                </c:pt>
                <c:pt idx="9">
                  <c:v>6949.84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F-4C43-8806-A539FDA91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666721"/>
        <c:axId val="31231853"/>
      </c:barChart>
      <c:catAx>
        <c:axId val="6366672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231853"/>
        <c:crosses val="autoZero"/>
        <c:auto val="1"/>
        <c:lblAlgn val="ctr"/>
        <c:lblOffset val="100"/>
        <c:noMultiLvlLbl val="0"/>
      </c:catAx>
      <c:valAx>
        <c:axId val="312318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667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Analysis!$C$41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FF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Analysis!$A$42:$A$44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Analysis!$C$42:$C$44</c:f>
              <c:numCache>
                <c:formatCode>#,##0</c:formatCode>
                <c:ptCount val="3"/>
                <c:pt idx="0">
                  <c:v>62177.810000000019</c:v>
                </c:pt>
                <c:pt idx="1">
                  <c:v>82357.540000000037</c:v>
                </c:pt>
                <c:pt idx="2">
                  <c:v>84657.12000000001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C-47E8-8977-F6A7C41AB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13950"/>
        <c:axId val="96134119"/>
      </c:barChart>
      <c:catAx>
        <c:axId val="59713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134119"/>
        <c:crosses val="autoZero"/>
        <c:auto val="1"/>
        <c:lblAlgn val="ctr"/>
        <c:lblOffset val="100"/>
        <c:noMultiLvlLbl val="0"/>
      </c:catAx>
      <c:valAx>
        <c:axId val="96134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139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130680</xdr:rowOff>
    </xdr:from>
    <xdr:to>
      <xdr:col>3</xdr:col>
      <xdr:colOff>732600</xdr:colOff>
      <xdr:row>23</xdr:row>
      <xdr:rowOff>173880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130680</xdr:rowOff>
    </xdr:from>
    <xdr:to>
      <xdr:col>9</xdr:col>
      <xdr:colOff>402840</xdr:colOff>
      <xdr:row>23</xdr:row>
      <xdr:rowOff>173880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25</xdr:row>
      <xdr:rowOff>131040</xdr:rowOff>
    </xdr:from>
    <xdr:to>
      <xdr:col>3</xdr:col>
      <xdr:colOff>732600</xdr:colOff>
      <xdr:row>38</xdr:row>
      <xdr:rowOff>174240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7620</xdr:colOff>
      <xdr:row>25</xdr:row>
      <xdr:rowOff>146280</xdr:rowOff>
    </xdr:from>
    <xdr:to>
      <xdr:col>9</xdr:col>
      <xdr:colOff>236220</xdr:colOff>
      <xdr:row>39</xdr:row>
      <xdr:rowOff>6600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40</xdr:row>
      <xdr:rowOff>130680</xdr:rowOff>
    </xdr:from>
    <xdr:to>
      <xdr:col>3</xdr:col>
      <xdr:colOff>732600</xdr:colOff>
      <xdr:row>53</xdr:row>
      <xdr:rowOff>173880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0</xdr:colOff>
      <xdr:row>40</xdr:row>
      <xdr:rowOff>130680</xdr:rowOff>
    </xdr:from>
    <xdr:to>
      <xdr:col>9</xdr:col>
      <xdr:colOff>402840</xdr:colOff>
      <xdr:row>53</xdr:row>
      <xdr:rowOff>173880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51"/>
  <sheetViews>
    <sheetView topLeftCell="G1" zoomScaleNormal="100" workbookViewId="0">
      <pane ySplit="1" topLeftCell="A53" activePane="bottomLeft" state="frozen"/>
      <selection pane="bottomLeft" activeCell="M5" sqref="M5"/>
    </sheetView>
  </sheetViews>
  <sheetFormatPr defaultColWidth="8.6640625" defaultRowHeight="14.4" x14ac:dyDescent="0.3"/>
  <cols>
    <col min="1" max="1" width="14.6640625" customWidth="1"/>
    <col min="2" max="2" width="12" customWidth="1"/>
    <col min="3" max="3" width="14.44140625" customWidth="1"/>
    <col min="4" max="4" width="18" customWidth="1"/>
    <col min="5" max="5" width="11" customWidth="1"/>
    <col min="6" max="6" width="14" customWidth="1"/>
    <col min="7" max="7" width="13" customWidth="1"/>
    <col min="8" max="8" width="9" customWidth="1"/>
    <col min="9" max="9" width="11" customWidth="1"/>
    <col min="10" max="10" width="18.44140625" customWidth="1"/>
    <col min="11" max="11" width="10" customWidth="1"/>
    <col min="12" max="12" width="16" customWidth="1"/>
    <col min="13" max="13" width="17.44140625" customWidth="1"/>
    <col min="14" max="14" width="14" customWidth="1"/>
    <col min="15" max="17" width="12" customWidth="1"/>
    <col min="18" max="18" width="14" customWidth="1"/>
    <col min="19" max="19" width="15.33203125" customWidth="1"/>
    <col min="20" max="20" width="10" customWidth="1"/>
  </cols>
  <sheetData>
    <row r="1" spans="1:20" ht="31.5" customHeight="1" x14ac:dyDescent="0.3">
      <c r="A1" s="24" t="s">
        <v>29</v>
      </c>
      <c r="B1" s="24" t="s">
        <v>30</v>
      </c>
      <c r="C1" s="24" t="s">
        <v>31</v>
      </c>
      <c r="D1" s="24" t="s">
        <v>32</v>
      </c>
      <c r="E1" s="24" t="s">
        <v>33</v>
      </c>
      <c r="F1" s="24" t="s">
        <v>34</v>
      </c>
      <c r="G1" s="24" t="s">
        <v>35</v>
      </c>
      <c r="H1" s="24" t="s">
        <v>36</v>
      </c>
      <c r="I1" s="24" t="s">
        <v>37</v>
      </c>
      <c r="J1" s="24" t="s">
        <v>38</v>
      </c>
      <c r="K1" s="24" t="s">
        <v>39</v>
      </c>
      <c r="L1" s="24" t="s">
        <v>40</v>
      </c>
      <c r="M1" s="24" t="s">
        <v>41</v>
      </c>
      <c r="N1" s="24" t="s">
        <v>42</v>
      </c>
      <c r="O1" s="24" t="s">
        <v>43</v>
      </c>
      <c r="P1" s="24" t="s">
        <v>44</v>
      </c>
      <c r="Q1" s="24" t="s">
        <v>45</v>
      </c>
      <c r="R1" s="24" t="s">
        <v>46</v>
      </c>
      <c r="S1" s="24" t="s">
        <v>47</v>
      </c>
      <c r="T1" s="25" t="s">
        <v>48</v>
      </c>
    </row>
    <row r="2" spans="1:20" x14ac:dyDescent="0.3">
      <c r="A2" s="27" t="s">
        <v>49</v>
      </c>
      <c r="B2" s="28">
        <v>45393</v>
      </c>
      <c r="C2" s="29" t="s">
        <v>50</v>
      </c>
      <c r="D2" s="29" t="s">
        <v>51</v>
      </c>
      <c r="E2" s="29" t="s">
        <v>52</v>
      </c>
      <c r="F2" s="29" t="s">
        <v>53</v>
      </c>
      <c r="G2" s="29" t="s">
        <v>54</v>
      </c>
      <c r="H2" s="27">
        <v>3</v>
      </c>
      <c r="I2" s="30">
        <v>249.99</v>
      </c>
      <c r="J2" s="29" t="s">
        <v>55</v>
      </c>
      <c r="K2" s="29" t="s">
        <v>56</v>
      </c>
      <c r="L2" s="29" t="s">
        <v>57</v>
      </c>
      <c r="M2" s="28">
        <v>44425</v>
      </c>
      <c r="N2" s="30">
        <f t="shared" ref="N2:N65" si="0">H2*I2</f>
        <v>749.97</v>
      </c>
      <c r="O2" s="28">
        <f t="shared" ref="O2:O65" si="1">EOMONTH(B2,0)</f>
        <v>45412</v>
      </c>
      <c r="P2" s="27" t="str">
        <f t="shared" ref="P2:P65" si="2">TEXT(B2,"mmm yyyy")</f>
        <v>Apr 2024</v>
      </c>
      <c r="Q2" s="29">
        <f t="shared" ref="Q2:Q65" ca="1" si="3">TODAY()-B2</f>
        <v>932</v>
      </c>
      <c r="R2" s="29">
        <f t="shared" ref="R2:R65" si="4">IFERROR(DATEDIF(M2,B2,"m"),0)</f>
        <v>31</v>
      </c>
      <c r="S2" s="27" t="str">
        <f t="shared" ref="S2:S65" si="5">UPPER(LEFT(D2,1))&amp;UPPER(MID(D2,FIND(" ",D2)+1,1))&amp;"-"&amp;RIGHT(C2,3)</f>
        <v>PB-023</v>
      </c>
      <c r="T2" s="27" t="str">
        <f>IF(AND(K2=Lists_Filter!$J$4,G2=Lists_Filter!$J$5),COUNTIFS(K$2:K2,Lists_Filter!$J$4,G$2:G2,Lists_Filter!$J$5),"")</f>
        <v/>
      </c>
    </row>
    <row r="3" spans="1:20" x14ac:dyDescent="0.3">
      <c r="A3" s="27" t="s">
        <v>58</v>
      </c>
      <c r="B3" s="28">
        <v>45396</v>
      </c>
      <c r="C3" s="29" t="s">
        <v>59</v>
      </c>
      <c r="D3" s="29" t="s">
        <v>60</v>
      </c>
      <c r="E3" s="29" t="s">
        <v>52</v>
      </c>
      <c r="F3" s="29" t="s">
        <v>53</v>
      </c>
      <c r="G3" s="29" t="s">
        <v>54</v>
      </c>
      <c r="H3" s="27">
        <v>3</v>
      </c>
      <c r="I3" s="30">
        <v>249.99</v>
      </c>
      <c r="J3" s="29" t="s">
        <v>61</v>
      </c>
      <c r="K3" s="29" t="s">
        <v>56</v>
      </c>
      <c r="L3" s="29" t="s">
        <v>62</v>
      </c>
      <c r="M3" s="28">
        <v>44575</v>
      </c>
      <c r="N3" s="30">
        <f t="shared" si="0"/>
        <v>749.97</v>
      </c>
      <c r="O3" s="28">
        <f t="shared" si="1"/>
        <v>45412</v>
      </c>
      <c r="P3" s="27" t="str">
        <f t="shared" si="2"/>
        <v>Apr 2024</v>
      </c>
      <c r="Q3" s="29">
        <f t="shared" ca="1" si="3"/>
        <v>929</v>
      </c>
      <c r="R3" s="29">
        <f t="shared" si="4"/>
        <v>27</v>
      </c>
      <c r="S3" s="27" t="str">
        <f t="shared" si="5"/>
        <v>JJ-013</v>
      </c>
      <c r="T3" s="27" t="str">
        <f>IF(AND(K3=Lists_Filter!$J$4,G3=Lists_Filter!$J$5),COUNTIFS(K$2:K3,Lists_Filter!$J$4,G$2:G3,Lists_Filter!$J$5),"")</f>
        <v/>
      </c>
    </row>
    <row r="4" spans="1:20" x14ac:dyDescent="0.3">
      <c r="A4" s="27" t="s">
        <v>63</v>
      </c>
      <c r="B4" s="28">
        <v>45399</v>
      </c>
      <c r="C4" s="29" t="s">
        <v>64</v>
      </c>
      <c r="D4" s="29" t="s">
        <v>65</v>
      </c>
      <c r="E4" s="29" t="s">
        <v>66</v>
      </c>
      <c r="F4" s="29" t="s">
        <v>67</v>
      </c>
      <c r="G4" s="29" t="s">
        <v>68</v>
      </c>
      <c r="H4" s="27">
        <v>3</v>
      </c>
      <c r="I4" s="30">
        <v>59.99</v>
      </c>
      <c r="J4" s="29" t="s">
        <v>69</v>
      </c>
      <c r="K4" s="29" t="s">
        <v>70</v>
      </c>
      <c r="L4" s="29" t="s">
        <v>71</v>
      </c>
      <c r="M4" s="28">
        <v>45262</v>
      </c>
      <c r="N4" s="30">
        <f t="shared" si="0"/>
        <v>179.97</v>
      </c>
      <c r="O4" s="28">
        <f t="shared" si="1"/>
        <v>45412</v>
      </c>
      <c r="P4" s="27" t="str">
        <f t="shared" si="2"/>
        <v>Apr 2024</v>
      </c>
      <c r="Q4" s="29">
        <f t="shared" ca="1" si="3"/>
        <v>926</v>
      </c>
      <c r="R4" s="29">
        <f t="shared" si="4"/>
        <v>4</v>
      </c>
      <c r="S4" s="27" t="str">
        <f t="shared" si="5"/>
        <v>KS-021</v>
      </c>
      <c r="T4" s="27" t="str">
        <f>IF(AND(K4=Lists_Filter!$J$4,G4=Lists_Filter!$J$5),COUNTIFS(K$2:K4,Lists_Filter!$J$4,G$2:G4,Lists_Filter!$J$5),"")</f>
        <v/>
      </c>
    </row>
    <row r="5" spans="1:20" x14ac:dyDescent="0.3">
      <c r="A5" s="27" t="s">
        <v>72</v>
      </c>
      <c r="B5" s="28">
        <v>45400</v>
      </c>
      <c r="C5" s="29" t="s">
        <v>73</v>
      </c>
      <c r="D5" s="29" t="s">
        <v>74</v>
      </c>
      <c r="E5" s="29" t="s">
        <v>66</v>
      </c>
      <c r="F5" s="29" t="s">
        <v>67</v>
      </c>
      <c r="G5" s="29" t="s">
        <v>68</v>
      </c>
      <c r="H5" s="27">
        <v>3</v>
      </c>
      <c r="I5" s="30">
        <v>59.99</v>
      </c>
      <c r="J5" s="29" t="s">
        <v>55</v>
      </c>
      <c r="K5" s="29" t="s">
        <v>75</v>
      </c>
      <c r="L5" s="29" t="s">
        <v>62</v>
      </c>
      <c r="M5" s="28">
        <v>45114</v>
      </c>
      <c r="N5" s="30">
        <f t="shared" si="0"/>
        <v>179.97</v>
      </c>
      <c r="O5" s="28">
        <f t="shared" si="1"/>
        <v>45412</v>
      </c>
      <c r="P5" s="27" t="str">
        <f t="shared" si="2"/>
        <v>Apr 2024</v>
      </c>
      <c r="Q5" s="29">
        <f t="shared" ca="1" si="3"/>
        <v>925</v>
      </c>
      <c r="R5" s="29">
        <f t="shared" si="4"/>
        <v>9</v>
      </c>
      <c r="S5" s="27" t="str">
        <f t="shared" si="5"/>
        <v>KB-046</v>
      </c>
      <c r="T5" s="27" t="str">
        <f>IF(AND(K5=Lists_Filter!$J$4,G5=Lists_Filter!$J$5),COUNTIFS(K$2:K5,Lists_Filter!$J$4,G$2:G5,Lists_Filter!$J$5),"")</f>
        <v/>
      </c>
    </row>
    <row r="6" spans="1:20" x14ac:dyDescent="0.3">
      <c r="A6" s="27" t="s">
        <v>76</v>
      </c>
      <c r="B6" s="28">
        <v>45400</v>
      </c>
      <c r="C6" s="29" t="s">
        <v>77</v>
      </c>
      <c r="D6" s="29" t="s">
        <v>78</v>
      </c>
      <c r="E6" s="29" t="s">
        <v>79</v>
      </c>
      <c r="F6" s="29" t="s">
        <v>80</v>
      </c>
      <c r="G6" s="29" t="s">
        <v>81</v>
      </c>
      <c r="H6" s="27">
        <v>5</v>
      </c>
      <c r="I6" s="30">
        <v>149.99</v>
      </c>
      <c r="J6" s="29" t="s">
        <v>61</v>
      </c>
      <c r="K6" s="29" t="s">
        <v>75</v>
      </c>
      <c r="L6" s="29" t="s">
        <v>62</v>
      </c>
      <c r="M6" s="28">
        <v>45295</v>
      </c>
      <c r="N6" s="30">
        <f t="shared" si="0"/>
        <v>749.95</v>
      </c>
      <c r="O6" s="28">
        <f t="shared" si="1"/>
        <v>45412</v>
      </c>
      <c r="P6" s="27" t="str">
        <f t="shared" si="2"/>
        <v>Apr 2024</v>
      </c>
      <c r="Q6" s="29">
        <f t="shared" ca="1" si="3"/>
        <v>925</v>
      </c>
      <c r="R6" s="29">
        <f t="shared" si="4"/>
        <v>3</v>
      </c>
      <c r="S6" s="27" t="str">
        <f t="shared" si="5"/>
        <v>MB-003</v>
      </c>
      <c r="T6" s="27" t="str">
        <f>IF(AND(K6=Lists_Filter!$J$4,G6=Lists_Filter!$J$5),COUNTIFS(K$2:K6,Lists_Filter!$J$4,G$2:G6,Lists_Filter!$J$5),"")</f>
        <v/>
      </c>
    </row>
    <row r="7" spans="1:20" x14ac:dyDescent="0.3">
      <c r="A7" s="27" t="s">
        <v>82</v>
      </c>
      <c r="B7" s="28">
        <v>45403</v>
      </c>
      <c r="C7" s="29" t="s">
        <v>83</v>
      </c>
      <c r="D7" s="29" t="s">
        <v>84</v>
      </c>
      <c r="E7" s="29" t="s">
        <v>66</v>
      </c>
      <c r="F7" s="29" t="s">
        <v>67</v>
      </c>
      <c r="G7" s="29" t="s">
        <v>68</v>
      </c>
      <c r="H7" s="27">
        <v>2</v>
      </c>
      <c r="I7" s="30">
        <v>59.99</v>
      </c>
      <c r="J7" s="29" t="s">
        <v>55</v>
      </c>
      <c r="K7" s="29" t="s">
        <v>85</v>
      </c>
      <c r="L7" s="29" t="s">
        <v>71</v>
      </c>
      <c r="M7" s="28">
        <v>44746</v>
      </c>
      <c r="N7" s="30">
        <f t="shared" si="0"/>
        <v>119.98</v>
      </c>
      <c r="O7" s="28">
        <f t="shared" si="1"/>
        <v>45412</v>
      </c>
      <c r="P7" s="27" t="str">
        <f t="shared" si="2"/>
        <v>Apr 2024</v>
      </c>
      <c r="Q7" s="29">
        <f t="shared" ca="1" si="3"/>
        <v>922</v>
      </c>
      <c r="R7" s="29">
        <f t="shared" si="4"/>
        <v>21</v>
      </c>
      <c r="S7" s="27" t="str">
        <f t="shared" si="5"/>
        <v>DN-024</v>
      </c>
      <c r="T7" s="27" t="str">
        <f>IF(AND(K7=Lists_Filter!$J$4,G7=Lists_Filter!$J$5),COUNTIFS(K$2:K7,Lists_Filter!$J$4,G$2:G7,Lists_Filter!$J$5),"")</f>
        <v/>
      </c>
    </row>
    <row r="8" spans="1:20" x14ac:dyDescent="0.3">
      <c r="A8" s="27" t="s">
        <v>86</v>
      </c>
      <c r="B8" s="28">
        <v>45403</v>
      </c>
      <c r="C8" s="29" t="s">
        <v>83</v>
      </c>
      <c r="D8" s="29" t="s">
        <v>84</v>
      </c>
      <c r="E8" s="29" t="s">
        <v>87</v>
      </c>
      <c r="F8" s="29" t="s">
        <v>88</v>
      </c>
      <c r="G8" s="29" t="s">
        <v>54</v>
      </c>
      <c r="H8" s="27">
        <v>5</v>
      </c>
      <c r="I8" s="30">
        <v>149.99</v>
      </c>
      <c r="J8" s="29" t="s">
        <v>61</v>
      </c>
      <c r="K8" s="29" t="s">
        <v>56</v>
      </c>
      <c r="L8" s="29" t="s">
        <v>71</v>
      </c>
      <c r="M8" s="28">
        <v>44418</v>
      </c>
      <c r="N8" s="30">
        <f t="shared" si="0"/>
        <v>749.95</v>
      </c>
      <c r="O8" s="28">
        <f t="shared" si="1"/>
        <v>45412</v>
      </c>
      <c r="P8" s="27" t="str">
        <f t="shared" si="2"/>
        <v>Apr 2024</v>
      </c>
      <c r="Q8" s="29">
        <f t="shared" ca="1" si="3"/>
        <v>922</v>
      </c>
      <c r="R8" s="29">
        <f t="shared" si="4"/>
        <v>32</v>
      </c>
      <c r="S8" s="27" t="str">
        <f t="shared" si="5"/>
        <v>DN-024</v>
      </c>
      <c r="T8" s="27" t="str">
        <f>IF(AND(K8=Lists_Filter!$J$4,G8=Lists_Filter!$J$5),COUNTIFS(K$2:K8,Lists_Filter!$J$4,G$2:G8,Lists_Filter!$J$5),"")</f>
        <v/>
      </c>
    </row>
    <row r="9" spans="1:20" x14ac:dyDescent="0.3">
      <c r="A9" s="27" t="s">
        <v>89</v>
      </c>
      <c r="B9" s="28">
        <v>45403</v>
      </c>
      <c r="C9" s="29" t="s">
        <v>90</v>
      </c>
      <c r="D9" s="29" t="s">
        <v>91</v>
      </c>
      <c r="E9" s="29" t="s">
        <v>66</v>
      </c>
      <c r="F9" s="29" t="s">
        <v>67</v>
      </c>
      <c r="G9" s="29" t="s">
        <v>68</v>
      </c>
      <c r="H9" s="27">
        <v>3</v>
      </c>
      <c r="I9" s="30">
        <v>59.99</v>
      </c>
      <c r="J9" s="29" t="s">
        <v>92</v>
      </c>
      <c r="K9" s="29" t="s">
        <v>70</v>
      </c>
      <c r="L9" s="29" t="s">
        <v>57</v>
      </c>
      <c r="M9" s="28">
        <v>45007</v>
      </c>
      <c r="N9" s="30">
        <f t="shared" si="0"/>
        <v>179.97</v>
      </c>
      <c r="O9" s="28">
        <f t="shared" si="1"/>
        <v>45412</v>
      </c>
      <c r="P9" s="27" t="str">
        <f t="shared" si="2"/>
        <v>Apr 2024</v>
      </c>
      <c r="Q9" s="29">
        <f t="shared" ca="1" si="3"/>
        <v>922</v>
      </c>
      <c r="R9" s="29">
        <f t="shared" si="4"/>
        <v>12</v>
      </c>
      <c r="S9" s="27" t="str">
        <f t="shared" si="5"/>
        <v>CA-017</v>
      </c>
      <c r="T9" s="27" t="str">
        <f>IF(AND(K9=Lists_Filter!$J$4,G9=Lists_Filter!$J$5),COUNTIFS(K$2:K9,Lists_Filter!$J$4,G$2:G9,Lists_Filter!$J$5),"")</f>
        <v/>
      </c>
    </row>
    <row r="10" spans="1:20" x14ac:dyDescent="0.3">
      <c r="A10" s="27" t="s">
        <v>93</v>
      </c>
      <c r="B10" s="28">
        <v>45405</v>
      </c>
      <c r="C10" s="29" t="s">
        <v>94</v>
      </c>
      <c r="D10" s="29" t="s">
        <v>95</v>
      </c>
      <c r="E10" s="29" t="s">
        <v>96</v>
      </c>
      <c r="F10" s="29" t="s">
        <v>97</v>
      </c>
      <c r="G10" s="29" t="s">
        <v>54</v>
      </c>
      <c r="H10" s="27">
        <v>3</v>
      </c>
      <c r="I10" s="30">
        <v>899.99</v>
      </c>
      <c r="J10" s="29" t="s">
        <v>69</v>
      </c>
      <c r="K10" s="29" t="s">
        <v>98</v>
      </c>
      <c r="L10" s="29" t="s">
        <v>71</v>
      </c>
      <c r="M10" s="28">
        <v>45299</v>
      </c>
      <c r="N10" s="30">
        <f t="shared" si="0"/>
        <v>2699.9700000000003</v>
      </c>
      <c r="O10" s="28">
        <f t="shared" si="1"/>
        <v>45412</v>
      </c>
      <c r="P10" s="27" t="str">
        <f t="shared" si="2"/>
        <v>Apr 2024</v>
      </c>
      <c r="Q10" s="31">
        <f t="shared" ca="1" si="3"/>
        <v>920</v>
      </c>
      <c r="R10" s="31">
        <f t="shared" si="4"/>
        <v>3</v>
      </c>
      <c r="S10" s="32" t="str">
        <f t="shared" si="5"/>
        <v>RT-009</v>
      </c>
      <c r="T10" s="27" t="str">
        <f>IF(AND(K10=Lists_Filter!$J$4,G10=Lists_Filter!$J$5),COUNTIFS(K$2:K10,Lists_Filter!$J$4,G$2:G10,Lists_Filter!$J$5),"")</f>
        <v/>
      </c>
    </row>
    <row r="11" spans="1:20" x14ac:dyDescent="0.3">
      <c r="A11" s="27" t="s">
        <v>99</v>
      </c>
      <c r="B11" s="28">
        <v>45408</v>
      </c>
      <c r="C11" s="29" t="s">
        <v>100</v>
      </c>
      <c r="D11" s="29" t="s">
        <v>101</v>
      </c>
      <c r="E11" s="29" t="s">
        <v>79</v>
      </c>
      <c r="F11" s="29" t="s">
        <v>80</v>
      </c>
      <c r="G11" s="29" t="s">
        <v>81</v>
      </c>
      <c r="H11" s="27">
        <v>1</v>
      </c>
      <c r="I11" s="30">
        <v>149.99</v>
      </c>
      <c r="J11" s="29" t="s">
        <v>61</v>
      </c>
      <c r="K11" s="29" t="s">
        <v>85</v>
      </c>
      <c r="L11" s="29" t="s">
        <v>71</v>
      </c>
      <c r="M11" s="28">
        <v>45103</v>
      </c>
      <c r="N11" s="30">
        <f t="shared" si="0"/>
        <v>149.99</v>
      </c>
      <c r="O11" s="28">
        <f t="shared" si="1"/>
        <v>45412</v>
      </c>
      <c r="P11" s="27" t="str">
        <f t="shared" si="2"/>
        <v>Apr 2024</v>
      </c>
      <c r="Q11" s="29">
        <f t="shared" ca="1" si="3"/>
        <v>917</v>
      </c>
      <c r="R11" s="29">
        <f t="shared" si="4"/>
        <v>10</v>
      </c>
      <c r="S11" s="27" t="str">
        <f t="shared" si="5"/>
        <v>SG-022</v>
      </c>
      <c r="T11" s="27" t="str">
        <f>IF(AND(K11=Lists_Filter!$J$4,G11=Lists_Filter!$J$5),COUNTIFS(K$2:K11,Lists_Filter!$J$4,G$2:G11,Lists_Filter!$J$5),"")</f>
        <v/>
      </c>
    </row>
    <row r="12" spans="1:20" x14ac:dyDescent="0.3">
      <c r="A12" s="27" t="s">
        <v>102</v>
      </c>
      <c r="B12" s="28">
        <v>45408</v>
      </c>
      <c r="C12" s="29" t="s">
        <v>103</v>
      </c>
      <c r="D12" s="29" t="s">
        <v>104</v>
      </c>
      <c r="E12" s="29" t="s">
        <v>66</v>
      </c>
      <c r="F12" s="29" t="s">
        <v>67</v>
      </c>
      <c r="G12" s="29" t="s">
        <v>68</v>
      </c>
      <c r="H12" s="27">
        <v>3</v>
      </c>
      <c r="I12" s="30">
        <v>59.99</v>
      </c>
      <c r="J12" s="29" t="s">
        <v>55</v>
      </c>
      <c r="K12" s="29" t="s">
        <v>85</v>
      </c>
      <c r="L12" s="29" t="s">
        <v>62</v>
      </c>
      <c r="M12" s="28">
        <v>45207</v>
      </c>
      <c r="N12" s="30">
        <f t="shared" si="0"/>
        <v>179.97</v>
      </c>
      <c r="O12" s="28">
        <f t="shared" si="1"/>
        <v>45412</v>
      </c>
      <c r="P12" s="27" t="str">
        <f t="shared" si="2"/>
        <v>Apr 2024</v>
      </c>
      <c r="Q12" s="29">
        <f t="shared" ca="1" si="3"/>
        <v>917</v>
      </c>
      <c r="R12" s="29">
        <f t="shared" si="4"/>
        <v>6</v>
      </c>
      <c r="S12" s="27" t="str">
        <f t="shared" si="5"/>
        <v>KH-026</v>
      </c>
      <c r="T12" s="27" t="str">
        <f>IF(AND(K12=Lists_Filter!$J$4,G12=Lists_Filter!$J$5),COUNTIFS(K$2:K12,Lists_Filter!$J$4,G$2:G12,Lists_Filter!$J$5),"")</f>
        <v/>
      </c>
    </row>
    <row r="13" spans="1:20" x14ac:dyDescent="0.3">
      <c r="A13" s="27" t="s">
        <v>105</v>
      </c>
      <c r="B13" s="28">
        <v>45408</v>
      </c>
      <c r="C13" s="29" t="s">
        <v>73</v>
      </c>
      <c r="D13" s="29" t="s">
        <v>74</v>
      </c>
      <c r="E13" s="29" t="s">
        <v>79</v>
      </c>
      <c r="F13" s="29" t="s">
        <v>80</v>
      </c>
      <c r="G13" s="29" t="s">
        <v>81</v>
      </c>
      <c r="H13" s="27">
        <v>5</v>
      </c>
      <c r="I13" s="30">
        <v>149.99</v>
      </c>
      <c r="J13" s="29" t="s">
        <v>92</v>
      </c>
      <c r="K13" s="29" t="s">
        <v>75</v>
      </c>
      <c r="L13" s="29" t="s">
        <v>57</v>
      </c>
      <c r="M13" s="28">
        <v>44830</v>
      </c>
      <c r="N13" s="30">
        <f t="shared" si="0"/>
        <v>749.95</v>
      </c>
      <c r="O13" s="28">
        <f t="shared" si="1"/>
        <v>45412</v>
      </c>
      <c r="P13" s="27" t="str">
        <f t="shared" si="2"/>
        <v>Apr 2024</v>
      </c>
      <c r="Q13" s="29">
        <f t="shared" ca="1" si="3"/>
        <v>917</v>
      </c>
      <c r="R13" s="29">
        <f t="shared" si="4"/>
        <v>19</v>
      </c>
      <c r="S13" s="27" t="str">
        <f t="shared" si="5"/>
        <v>KB-046</v>
      </c>
      <c r="T13" s="27" t="str">
        <f>IF(AND(K13=Lists_Filter!$J$4,G13=Lists_Filter!$J$5),COUNTIFS(K$2:K13,Lists_Filter!$J$4,G$2:G13,Lists_Filter!$J$5),"")</f>
        <v/>
      </c>
    </row>
    <row r="14" spans="1:20" x14ac:dyDescent="0.3">
      <c r="A14" s="27" t="s">
        <v>106</v>
      </c>
      <c r="B14" s="28">
        <v>45408</v>
      </c>
      <c r="C14" s="29" t="s">
        <v>107</v>
      </c>
      <c r="D14" s="29" t="s">
        <v>108</v>
      </c>
      <c r="E14" s="29" t="s">
        <v>79</v>
      </c>
      <c r="F14" s="29" t="s">
        <v>80</v>
      </c>
      <c r="G14" s="29" t="s">
        <v>81</v>
      </c>
      <c r="H14" s="27">
        <v>3</v>
      </c>
      <c r="I14" s="30">
        <v>149.99</v>
      </c>
      <c r="J14" s="29" t="s">
        <v>55</v>
      </c>
      <c r="K14" s="29" t="s">
        <v>75</v>
      </c>
      <c r="L14" s="29" t="s">
        <v>62</v>
      </c>
      <c r="M14" s="28">
        <v>44806</v>
      </c>
      <c r="N14" s="30">
        <f t="shared" si="0"/>
        <v>449.97</v>
      </c>
      <c r="O14" s="28">
        <f t="shared" si="1"/>
        <v>45412</v>
      </c>
      <c r="P14" s="27" t="str">
        <f t="shared" si="2"/>
        <v>Apr 2024</v>
      </c>
      <c r="Q14" s="29">
        <f t="shared" ca="1" si="3"/>
        <v>917</v>
      </c>
      <c r="R14" s="29">
        <f t="shared" si="4"/>
        <v>19</v>
      </c>
      <c r="S14" s="27" t="str">
        <f t="shared" si="5"/>
        <v>PR-041</v>
      </c>
      <c r="T14" s="27" t="str">
        <f>IF(AND(K14=Lists_Filter!$J$4,G14=Lists_Filter!$J$5),COUNTIFS(K$2:K14,Lists_Filter!$J$4,G$2:G14,Lists_Filter!$J$5),"")</f>
        <v/>
      </c>
    </row>
    <row r="15" spans="1:20" x14ac:dyDescent="0.3">
      <c r="A15" s="27" t="s">
        <v>109</v>
      </c>
      <c r="B15" s="28">
        <v>45409</v>
      </c>
      <c r="C15" s="29" t="s">
        <v>110</v>
      </c>
      <c r="D15" s="29" t="s">
        <v>111</v>
      </c>
      <c r="E15" s="29" t="s">
        <v>66</v>
      </c>
      <c r="F15" s="29" t="s">
        <v>67</v>
      </c>
      <c r="G15" s="29" t="s">
        <v>68</v>
      </c>
      <c r="H15" s="27">
        <v>3</v>
      </c>
      <c r="I15" s="30">
        <v>59.99</v>
      </c>
      <c r="J15" s="29" t="s">
        <v>61</v>
      </c>
      <c r="K15" s="29" t="s">
        <v>75</v>
      </c>
      <c r="L15" s="29" t="s">
        <v>71</v>
      </c>
      <c r="M15" s="28">
        <v>45351</v>
      </c>
      <c r="N15" s="30">
        <f t="shared" si="0"/>
        <v>179.97</v>
      </c>
      <c r="O15" s="28">
        <f t="shared" si="1"/>
        <v>45412</v>
      </c>
      <c r="P15" s="27" t="str">
        <f t="shared" si="2"/>
        <v>Apr 2024</v>
      </c>
      <c r="Q15" s="29">
        <f t="shared" ca="1" si="3"/>
        <v>916</v>
      </c>
      <c r="R15" s="29">
        <f t="shared" si="4"/>
        <v>1</v>
      </c>
      <c r="S15" s="27" t="str">
        <f t="shared" si="5"/>
        <v>DG-043</v>
      </c>
      <c r="T15" s="27" t="str">
        <f>IF(AND(K15=Lists_Filter!$J$4,G15=Lists_Filter!$J$5),COUNTIFS(K$2:K15,Lists_Filter!$J$4,G$2:G15,Lists_Filter!$J$5),"")</f>
        <v/>
      </c>
    </row>
    <row r="16" spans="1:20" x14ac:dyDescent="0.3">
      <c r="A16" s="27" t="s">
        <v>112</v>
      </c>
      <c r="B16" s="28">
        <v>45409</v>
      </c>
      <c r="C16" s="29" t="s">
        <v>113</v>
      </c>
      <c r="D16" s="29" t="s">
        <v>114</v>
      </c>
      <c r="E16" s="29" t="s">
        <v>115</v>
      </c>
      <c r="F16" s="29" t="s">
        <v>116</v>
      </c>
      <c r="G16" s="29" t="s">
        <v>54</v>
      </c>
      <c r="H16" s="27">
        <v>3</v>
      </c>
      <c r="I16" s="30">
        <v>699.99</v>
      </c>
      <c r="J16" s="29" t="s">
        <v>61</v>
      </c>
      <c r="K16" s="29" t="s">
        <v>85</v>
      </c>
      <c r="L16" s="29" t="s">
        <v>57</v>
      </c>
      <c r="M16" s="28">
        <v>44577</v>
      </c>
      <c r="N16" s="30">
        <f t="shared" si="0"/>
        <v>2099.9700000000003</v>
      </c>
      <c r="O16" s="28">
        <f t="shared" si="1"/>
        <v>45412</v>
      </c>
      <c r="P16" s="27" t="str">
        <f t="shared" si="2"/>
        <v>Apr 2024</v>
      </c>
      <c r="Q16" s="29">
        <f t="shared" ca="1" si="3"/>
        <v>916</v>
      </c>
      <c r="R16" s="29">
        <f t="shared" si="4"/>
        <v>27</v>
      </c>
      <c r="S16" s="27" t="str">
        <f t="shared" si="5"/>
        <v>MR-038</v>
      </c>
      <c r="T16" s="27" t="str">
        <f>IF(AND(K16=Lists_Filter!$J$4,G16=Lists_Filter!$J$5),COUNTIFS(K$2:K16,Lists_Filter!$J$4,G$2:G16,Lists_Filter!$J$5),"")</f>
        <v/>
      </c>
    </row>
    <row r="17" spans="1:20" x14ac:dyDescent="0.3">
      <c r="A17" s="27" t="s">
        <v>117</v>
      </c>
      <c r="B17" s="28">
        <v>45409</v>
      </c>
      <c r="C17" s="29" t="s">
        <v>118</v>
      </c>
      <c r="D17" s="29" t="s">
        <v>119</v>
      </c>
      <c r="E17" s="29" t="s">
        <v>96</v>
      </c>
      <c r="F17" s="29" t="s">
        <v>97</v>
      </c>
      <c r="G17" s="29" t="s">
        <v>54</v>
      </c>
      <c r="H17" s="27">
        <v>1</v>
      </c>
      <c r="I17" s="30">
        <v>899.99</v>
      </c>
      <c r="J17" s="29" t="s">
        <v>92</v>
      </c>
      <c r="K17" s="29" t="s">
        <v>75</v>
      </c>
      <c r="L17" s="29" t="s">
        <v>71</v>
      </c>
      <c r="M17" s="28">
        <v>44920</v>
      </c>
      <c r="N17" s="30">
        <f t="shared" si="0"/>
        <v>899.99</v>
      </c>
      <c r="O17" s="28">
        <f t="shared" si="1"/>
        <v>45412</v>
      </c>
      <c r="P17" s="27" t="str">
        <f t="shared" si="2"/>
        <v>Apr 2024</v>
      </c>
      <c r="Q17" s="29">
        <f t="shared" ca="1" si="3"/>
        <v>916</v>
      </c>
      <c r="R17" s="29">
        <f t="shared" si="4"/>
        <v>16</v>
      </c>
      <c r="S17" s="27" t="str">
        <f t="shared" si="5"/>
        <v>GA-027</v>
      </c>
      <c r="T17" s="29">
        <f>IF(AND(K17=Lists_Filter!$J$4,G17=Lists_Filter!$J$5),COUNTIFS(K$2:K17,Lists_Filter!$J$4,G$2:G17,Lists_Filter!$J$5),"")</f>
        <v>1</v>
      </c>
    </row>
    <row r="18" spans="1:20" x14ac:dyDescent="0.3">
      <c r="A18" s="27" t="s">
        <v>120</v>
      </c>
      <c r="B18" s="28">
        <v>45410</v>
      </c>
      <c r="C18" s="29" t="s">
        <v>121</v>
      </c>
      <c r="D18" s="29" t="s">
        <v>122</v>
      </c>
      <c r="E18" s="29" t="s">
        <v>79</v>
      </c>
      <c r="F18" s="29" t="s">
        <v>80</v>
      </c>
      <c r="G18" s="29" t="s">
        <v>81</v>
      </c>
      <c r="H18" s="27">
        <v>4</v>
      </c>
      <c r="I18" s="30">
        <v>149.99</v>
      </c>
      <c r="J18" s="29" t="s">
        <v>92</v>
      </c>
      <c r="K18" s="29" t="s">
        <v>75</v>
      </c>
      <c r="L18" s="29" t="s">
        <v>62</v>
      </c>
      <c r="M18" s="28">
        <v>45374</v>
      </c>
      <c r="N18" s="30">
        <f t="shared" si="0"/>
        <v>599.96</v>
      </c>
      <c r="O18" s="28">
        <f t="shared" si="1"/>
        <v>45412</v>
      </c>
      <c r="P18" s="27" t="str">
        <f t="shared" si="2"/>
        <v>Apr 2024</v>
      </c>
      <c r="Q18" s="29">
        <f t="shared" ca="1" si="3"/>
        <v>915</v>
      </c>
      <c r="R18" s="29">
        <f t="shared" si="4"/>
        <v>1</v>
      </c>
      <c r="S18" s="27" t="str">
        <f t="shared" si="5"/>
        <v>MC-025</v>
      </c>
      <c r="T18" s="27" t="str">
        <f>IF(AND(K18=Lists_Filter!$J$4,G18=Lists_Filter!$J$5),COUNTIFS(K$2:K18,Lists_Filter!$J$4,G$2:G18,Lists_Filter!$J$5),"")</f>
        <v/>
      </c>
    </row>
    <row r="19" spans="1:20" x14ac:dyDescent="0.3">
      <c r="A19" s="27" t="s">
        <v>123</v>
      </c>
      <c r="B19" s="28">
        <v>45410</v>
      </c>
      <c r="C19" s="29" t="s">
        <v>121</v>
      </c>
      <c r="D19" s="29" t="s">
        <v>122</v>
      </c>
      <c r="E19" s="29" t="s">
        <v>96</v>
      </c>
      <c r="F19" s="29" t="s">
        <v>97</v>
      </c>
      <c r="G19" s="29" t="s">
        <v>54</v>
      </c>
      <c r="H19" s="27">
        <v>4</v>
      </c>
      <c r="I19" s="30">
        <v>899.99</v>
      </c>
      <c r="J19" s="29" t="s">
        <v>61</v>
      </c>
      <c r="K19" s="29" t="s">
        <v>85</v>
      </c>
      <c r="L19" s="29" t="s">
        <v>71</v>
      </c>
      <c r="M19" s="28">
        <v>45327</v>
      </c>
      <c r="N19" s="30">
        <f t="shared" si="0"/>
        <v>3599.96</v>
      </c>
      <c r="O19" s="28">
        <f t="shared" si="1"/>
        <v>45412</v>
      </c>
      <c r="P19" s="27" t="str">
        <f t="shared" si="2"/>
        <v>Apr 2024</v>
      </c>
      <c r="Q19" s="29">
        <f t="shared" ca="1" si="3"/>
        <v>915</v>
      </c>
      <c r="R19" s="29">
        <f t="shared" si="4"/>
        <v>2</v>
      </c>
      <c r="S19" s="27" t="str">
        <f t="shared" si="5"/>
        <v>MC-025</v>
      </c>
      <c r="T19" s="27" t="str">
        <f>IF(AND(K19=Lists_Filter!$J$4,G19=Lists_Filter!$J$5),COUNTIFS(K$2:K19,Lists_Filter!$J$4,G$2:G19,Lists_Filter!$J$5),"")</f>
        <v/>
      </c>
    </row>
    <row r="20" spans="1:20" x14ac:dyDescent="0.3">
      <c r="A20" s="27" t="s">
        <v>124</v>
      </c>
      <c r="B20" s="28">
        <v>45410</v>
      </c>
      <c r="C20" s="29" t="s">
        <v>125</v>
      </c>
      <c r="D20" s="29" t="s">
        <v>126</v>
      </c>
      <c r="E20" s="29" t="s">
        <v>115</v>
      </c>
      <c r="F20" s="29" t="s">
        <v>116</v>
      </c>
      <c r="G20" s="29" t="s">
        <v>54</v>
      </c>
      <c r="H20" s="27">
        <v>2</v>
      </c>
      <c r="I20" s="30">
        <v>699.99</v>
      </c>
      <c r="J20" s="29" t="s">
        <v>55</v>
      </c>
      <c r="K20" s="29" t="s">
        <v>75</v>
      </c>
      <c r="L20" s="29" t="s">
        <v>57</v>
      </c>
      <c r="M20" s="28">
        <v>44781</v>
      </c>
      <c r="N20" s="30">
        <f t="shared" si="0"/>
        <v>1399.98</v>
      </c>
      <c r="O20" s="28">
        <f t="shared" si="1"/>
        <v>45412</v>
      </c>
      <c r="P20" s="27" t="str">
        <f t="shared" si="2"/>
        <v>Apr 2024</v>
      </c>
      <c r="Q20" s="29">
        <f t="shared" ca="1" si="3"/>
        <v>915</v>
      </c>
      <c r="R20" s="29">
        <f t="shared" si="4"/>
        <v>20</v>
      </c>
      <c r="S20" s="27" t="str">
        <f t="shared" si="5"/>
        <v>MG-010</v>
      </c>
      <c r="T20" s="29">
        <f>IF(AND(K20=Lists_Filter!$J$4,G20=Lists_Filter!$J$5),COUNTIFS(K$2:K20,Lists_Filter!$J$4,G$2:G20,Lists_Filter!$J$5),"")</f>
        <v>2</v>
      </c>
    </row>
    <row r="21" spans="1:20" x14ac:dyDescent="0.3">
      <c r="A21" s="27" t="s">
        <v>127</v>
      </c>
      <c r="B21" s="28">
        <v>45410</v>
      </c>
      <c r="C21" s="29" t="s">
        <v>128</v>
      </c>
      <c r="D21" s="29" t="s">
        <v>129</v>
      </c>
      <c r="E21" s="29" t="s">
        <v>52</v>
      </c>
      <c r="F21" s="29" t="s">
        <v>53</v>
      </c>
      <c r="G21" s="29" t="s">
        <v>54</v>
      </c>
      <c r="H21" s="27">
        <v>3</v>
      </c>
      <c r="I21" s="30">
        <v>249.99</v>
      </c>
      <c r="J21" s="29" t="s">
        <v>61</v>
      </c>
      <c r="K21" s="29" t="s">
        <v>75</v>
      </c>
      <c r="L21" s="29" t="s">
        <v>62</v>
      </c>
      <c r="M21" s="28">
        <v>45224</v>
      </c>
      <c r="N21" s="30">
        <f t="shared" si="0"/>
        <v>749.97</v>
      </c>
      <c r="O21" s="28">
        <f t="shared" si="1"/>
        <v>45412</v>
      </c>
      <c r="P21" s="27" t="str">
        <f t="shared" si="2"/>
        <v>Apr 2024</v>
      </c>
      <c r="Q21" s="29">
        <f t="shared" ca="1" si="3"/>
        <v>915</v>
      </c>
      <c r="R21" s="29">
        <f t="shared" si="4"/>
        <v>6</v>
      </c>
      <c r="S21" s="27" t="str">
        <f t="shared" si="5"/>
        <v>VS-048</v>
      </c>
      <c r="T21" s="29">
        <f>IF(AND(K21=Lists_Filter!$J$4,G21=Lists_Filter!$J$5),COUNTIFS(K$2:K21,Lists_Filter!$J$4,G$2:G21,Lists_Filter!$J$5),"")</f>
        <v>3</v>
      </c>
    </row>
    <row r="22" spans="1:20" x14ac:dyDescent="0.3">
      <c r="A22" s="27" t="s">
        <v>130</v>
      </c>
      <c r="B22" s="28">
        <v>45412</v>
      </c>
      <c r="C22" s="29" t="s">
        <v>131</v>
      </c>
      <c r="D22" s="29" t="s">
        <v>132</v>
      </c>
      <c r="E22" s="29" t="s">
        <v>115</v>
      </c>
      <c r="F22" s="29" t="s">
        <v>116</v>
      </c>
      <c r="G22" s="29" t="s">
        <v>54</v>
      </c>
      <c r="H22" s="27">
        <v>5</v>
      </c>
      <c r="I22" s="30">
        <v>699.99</v>
      </c>
      <c r="J22" s="29" t="s">
        <v>55</v>
      </c>
      <c r="K22" s="29" t="s">
        <v>85</v>
      </c>
      <c r="L22" s="29" t="s">
        <v>57</v>
      </c>
      <c r="M22" s="28">
        <v>45167</v>
      </c>
      <c r="N22" s="30">
        <f t="shared" si="0"/>
        <v>3499.95</v>
      </c>
      <c r="O22" s="28">
        <f t="shared" si="1"/>
        <v>45412</v>
      </c>
      <c r="P22" s="27" t="str">
        <f t="shared" si="2"/>
        <v>Apr 2024</v>
      </c>
      <c r="Q22" s="29">
        <f t="shared" ca="1" si="3"/>
        <v>913</v>
      </c>
      <c r="R22" s="29">
        <f t="shared" si="4"/>
        <v>8</v>
      </c>
      <c r="S22" s="27" t="str">
        <f t="shared" si="5"/>
        <v>BY-018</v>
      </c>
      <c r="T22" s="27" t="str">
        <f>IF(AND(K22=Lists_Filter!$J$4,G22=Lists_Filter!$J$5),COUNTIFS(K$2:K22,Lists_Filter!$J$4,G$2:G22,Lists_Filter!$J$5),"")</f>
        <v/>
      </c>
    </row>
    <row r="23" spans="1:20" x14ac:dyDescent="0.3">
      <c r="A23" s="27" t="s">
        <v>133</v>
      </c>
      <c r="B23" s="28">
        <v>45413</v>
      </c>
      <c r="C23" s="29" t="s">
        <v>134</v>
      </c>
      <c r="D23" s="29" t="s">
        <v>135</v>
      </c>
      <c r="E23" s="29" t="s">
        <v>115</v>
      </c>
      <c r="F23" s="29" t="s">
        <v>116</v>
      </c>
      <c r="G23" s="29" t="s">
        <v>54</v>
      </c>
      <c r="H23" s="27">
        <v>4</v>
      </c>
      <c r="I23" s="30">
        <v>699.99</v>
      </c>
      <c r="J23" s="29" t="s">
        <v>55</v>
      </c>
      <c r="K23" s="29" t="s">
        <v>98</v>
      </c>
      <c r="L23" s="29" t="s">
        <v>71</v>
      </c>
      <c r="M23" s="28">
        <v>44409</v>
      </c>
      <c r="N23" s="30">
        <f t="shared" si="0"/>
        <v>2799.96</v>
      </c>
      <c r="O23" s="28">
        <f t="shared" si="1"/>
        <v>45443</v>
      </c>
      <c r="P23" s="27" t="str">
        <f t="shared" si="2"/>
        <v>May 2024</v>
      </c>
      <c r="Q23" s="29">
        <f t="shared" ca="1" si="3"/>
        <v>912</v>
      </c>
      <c r="R23" s="29">
        <f t="shared" si="4"/>
        <v>33</v>
      </c>
      <c r="S23" s="27" t="str">
        <f t="shared" si="5"/>
        <v>PM-012</v>
      </c>
      <c r="T23" s="27" t="str">
        <f>IF(AND(K23=Lists_Filter!$J$4,G23=Lists_Filter!$J$5),COUNTIFS(K$2:K23,Lists_Filter!$J$4,G$2:G23,Lists_Filter!$J$5),"")</f>
        <v/>
      </c>
    </row>
    <row r="24" spans="1:20" x14ac:dyDescent="0.3">
      <c r="A24" s="27" t="s">
        <v>136</v>
      </c>
      <c r="B24" s="28">
        <v>45415</v>
      </c>
      <c r="C24" s="29" t="s">
        <v>137</v>
      </c>
      <c r="D24" s="29" t="s">
        <v>138</v>
      </c>
      <c r="E24" s="29" t="s">
        <v>52</v>
      </c>
      <c r="F24" s="29" t="s">
        <v>53</v>
      </c>
      <c r="G24" s="29" t="s">
        <v>54</v>
      </c>
      <c r="H24" s="27">
        <v>4</v>
      </c>
      <c r="I24" s="30">
        <v>249.99</v>
      </c>
      <c r="J24" s="29" t="s">
        <v>69</v>
      </c>
      <c r="K24" s="29" t="s">
        <v>75</v>
      </c>
      <c r="L24" s="29" t="s">
        <v>71</v>
      </c>
      <c r="M24" s="28">
        <v>44468</v>
      </c>
      <c r="N24" s="30">
        <f t="shared" si="0"/>
        <v>999.96</v>
      </c>
      <c r="O24" s="28">
        <f t="shared" si="1"/>
        <v>45443</v>
      </c>
      <c r="P24" s="27" t="str">
        <f t="shared" si="2"/>
        <v>May 2024</v>
      </c>
      <c r="Q24" s="29">
        <f t="shared" ca="1" si="3"/>
        <v>910</v>
      </c>
      <c r="R24" s="29">
        <f t="shared" si="4"/>
        <v>31</v>
      </c>
      <c r="S24" s="27" t="str">
        <f t="shared" si="5"/>
        <v>CP-044</v>
      </c>
      <c r="T24" s="29">
        <f>IF(AND(K24=Lists_Filter!$J$4,G24=Lists_Filter!$J$5),COUNTIFS(K$2:K24,Lists_Filter!$J$4,G$2:G24,Lists_Filter!$J$5),"")</f>
        <v>4</v>
      </c>
    </row>
    <row r="25" spans="1:20" x14ac:dyDescent="0.3">
      <c r="A25" s="27" t="s">
        <v>139</v>
      </c>
      <c r="B25" s="28">
        <v>45416</v>
      </c>
      <c r="C25" s="29" t="s">
        <v>121</v>
      </c>
      <c r="D25" s="29" t="s">
        <v>122</v>
      </c>
      <c r="E25" s="29" t="s">
        <v>140</v>
      </c>
      <c r="F25" s="29" t="s">
        <v>141</v>
      </c>
      <c r="G25" s="29" t="s">
        <v>81</v>
      </c>
      <c r="H25" s="27">
        <v>4</v>
      </c>
      <c r="I25" s="30">
        <v>299.99</v>
      </c>
      <c r="J25" s="29" t="s">
        <v>55</v>
      </c>
      <c r="K25" s="29" t="s">
        <v>85</v>
      </c>
      <c r="L25" s="29" t="s">
        <v>62</v>
      </c>
      <c r="M25" s="28">
        <v>44716</v>
      </c>
      <c r="N25" s="30">
        <f t="shared" si="0"/>
        <v>1199.96</v>
      </c>
      <c r="O25" s="28">
        <f t="shared" si="1"/>
        <v>45443</v>
      </c>
      <c r="P25" s="27" t="str">
        <f t="shared" si="2"/>
        <v>May 2024</v>
      </c>
      <c r="Q25" s="29">
        <f t="shared" ca="1" si="3"/>
        <v>909</v>
      </c>
      <c r="R25" s="29">
        <f t="shared" si="4"/>
        <v>23</v>
      </c>
      <c r="S25" s="27" t="str">
        <f t="shared" si="5"/>
        <v>MC-025</v>
      </c>
      <c r="T25" s="27" t="str">
        <f>IF(AND(K25=Lists_Filter!$J$4,G25=Lists_Filter!$J$5),COUNTIFS(K$2:K25,Lists_Filter!$J$4,G$2:G25,Lists_Filter!$J$5),"")</f>
        <v/>
      </c>
    </row>
    <row r="26" spans="1:20" x14ac:dyDescent="0.3">
      <c r="A26" s="27" t="s">
        <v>142</v>
      </c>
      <c r="B26" s="28">
        <v>45422</v>
      </c>
      <c r="C26" s="29" t="s">
        <v>143</v>
      </c>
      <c r="D26" s="29" t="s">
        <v>144</v>
      </c>
      <c r="E26" s="29" t="s">
        <v>52</v>
      </c>
      <c r="F26" s="29" t="s">
        <v>53</v>
      </c>
      <c r="G26" s="29" t="s">
        <v>54</v>
      </c>
      <c r="H26" s="27">
        <v>5</v>
      </c>
      <c r="I26" s="30">
        <v>249.99</v>
      </c>
      <c r="J26" s="29" t="s">
        <v>61</v>
      </c>
      <c r="K26" s="29" t="s">
        <v>85</v>
      </c>
      <c r="L26" s="29" t="s">
        <v>71</v>
      </c>
      <c r="M26" s="28">
        <v>44525</v>
      </c>
      <c r="N26" s="30">
        <f t="shared" si="0"/>
        <v>1249.95</v>
      </c>
      <c r="O26" s="28">
        <f t="shared" si="1"/>
        <v>45443</v>
      </c>
      <c r="P26" s="27" t="str">
        <f t="shared" si="2"/>
        <v>May 2024</v>
      </c>
      <c r="Q26" s="29">
        <f t="shared" ca="1" si="3"/>
        <v>903</v>
      </c>
      <c r="R26" s="29">
        <f t="shared" si="4"/>
        <v>29</v>
      </c>
      <c r="S26" s="27" t="str">
        <f t="shared" si="5"/>
        <v>NC-036</v>
      </c>
      <c r="T26" s="27" t="str">
        <f>IF(AND(K26=Lists_Filter!$J$4,G26=Lists_Filter!$J$5),COUNTIFS(K$2:K26,Lists_Filter!$J$4,G$2:G26,Lists_Filter!$J$5),"")</f>
        <v/>
      </c>
    </row>
    <row r="27" spans="1:20" x14ac:dyDescent="0.3">
      <c r="A27" s="27" t="s">
        <v>145</v>
      </c>
      <c r="B27" s="28">
        <v>45424</v>
      </c>
      <c r="C27" s="29" t="s">
        <v>134</v>
      </c>
      <c r="D27" s="29" t="s">
        <v>135</v>
      </c>
      <c r="E27" s="29" t="s">
        <v>146</v>
      </c>
      <c r="F27" s="29" t="s">
        <v>147</v>
      </c>
      <c r="G27" s="29" t="s">
        <v>54</v>
      </c>
      <c r="H27" s="27">
        <v>5</v>
      </c>
      <c r="I27" s="30">
        <v>89.99</v>
      </c>
      <c r="J27" s="29" t="s">
        <v>55</v>
      </c>
      <c r="K27" s="29" t="s">
        <v>75</v>
      </c>
      <c r="L27" s="29" t="s">
        <v>62</v>
      </c>
      <c r="M27" s="28">
        <v>44919</v>
      </c>
      <c r="N27" s="30">
        <f t="shared" si="0"/>
        <v>449.95</v>
      </c>
      <c r="O27" s="28">
        <f t="shared" si="1"/>
        <v>45443</v>
      </c>
      <c r="P27" s="27" t="str">
        <f t="shared" si="2"/>
        <v>May 2024</v>
      </c>
      <c r="Q27" s="29">
        <f t="shared" ca="1" si="3"/>
        <v>901</v>
      </c>
      <c r="R27" s="29">
        <f t="shared" si="4"/>
        <v>16</v>
      </c>
      <c r="S27" s="27" t="str">
        <f t="shared" si="5"/>
        <v>PM-012</v>
      </c>
      <c r="T27" s="29">
        <f>IF(AND(K27=Lists_Filter!$J$4,G27=Lists_Filter!$J$5),COUNTIFS(K$2:K27,Lists_Filter!$J$4,G$2:G27,Lists_Filter!$J$5),"")</f>
        <v>5</v>
      </c>
    </row>
    <row r="28" spans="1:20" x14ac:dyDescent="0.3">
      <c r="A28" s="27" t="s">
        <v>148</v>
      </c>
      <c r="B28" s="28">
        <v>45424</v>
      </c>
      <c r="C28" s="29" t="s">
        <v>100</v>
      </c>
      <c r="D28" s="29" t="s">
        <v>101</v>
      </c>
      <c r="E28" s="29" t="s">
        <v>140</v>
      </c>
      <c r="F28" s="29" t="s">
        <v>141</v>
      </c>
      <c r="G28" s="29" t="s">
        <v>81</v>
      </c>
      <c r="H28" s="27">
        <v>5</v>
      </c>
      <c r="I28" s="30">
        <v>299.99</v>
      </c>
      <c r="J28" s="29" t="s">
        <v>69</v>
      </c>
      <c r="K28" s="29" t="s">
        <v>98</v>
      </c>
      <c r="L28" s="29" t="s">
        <v>57</v>
      </c>
      <c r="M28" s="28">
        <v>45168</v>
      </c>
      <c r="N28" s="30">
        <f t="shared" si="0"/>
        <v>1499.95</v>
      </c>
      <c r="O28" s="28">
        <f t="shared" si="1"/>
        <v>45443</v>
      </c>
      <c r="P28" s="27" t="str">
        <f t="shared" si="2"/>
        <v>May 2024</v>
      </c>
      <c r="Q28" s="29">
        <f t="shared" ca="1" si="3"/>
        <v>901</v>
      </c>
      <c r="R28" s="29">
        <f t="shared" si="4"/>
        <v>8</v>
      </c>
      <c r="S28" s="27" t="str">
        <f t="shared" si="5"/>
        <v>SG-022</v>
      </c>
      <c r="T28" s="27" t="str">
        <f>IF(AND(K28=Lists_Filter!$J$4,G28=Lists_Filter!$J$5),COUNTIFS(K$2:K28,Lists_Filter!$J$4,G$2:G28,Lists_Filter!$J$5),"")</f>
        <v/>
      </c>
    </row>
    <row r="29" spans="1:20" x14ac:dyDescent="0.3">
      <c r="A29" s="27" t="s">
        <v>149</v>
      </c>
      <c r="B29" s="28">
        <v>45424</v>
      </c>
      <c r="C29" s="29" t="s">
        <v>150</v>
      </c>
      <c r="D29" s="29" t="s">
        <v>151</v>
      </c>
      <c r="E29" s="29" t="s">
        <v>152</v>
      </c>
      <c r="F29" s="29" t="s">
        <v>153</v>
      </c>
      <c r="G29" s="29" t="s">
        <v>68</v>
      </c>
      <c r="H29" s="27">
        <v>3</v>
      </c>
      <c r="I29" s="30">
        <v>79.989999999999995</v>
      </c>
      <c r="J29" s="29" t="s">
        <v>69</v>
      </c>
      <c r="K29" s="29" t="s">
        <v>98</v>
      </c>
      <c r="L29" s="29" t="s">
        <v>62</v>
      </c>
      <c r="M29" s="28">
        <v>45012</v>
      </c>
      <c r="N29" s="30">
        <f t="shared" si="0"/>
        <v>239.96999999999997</v>
      </c>
      <c r="O29" s="28">
        <f t="shared" si="1"/>
        <v>45443</v>
      </c>
      <c r="P29" s="27" t="str">
        <f t="shared" si="2"/>
        <v>May 2024</v>
      </c>
      <c r="Q29" s="29">
        <f t="shared" ca="1" si="3"/>
        <v>901</v>
      </c>
      <c r="R29" s="29">
        <f t="shared" si="4"/>
        <v>13</v>
      </c>
      <c r="S29" s="27" t="str">
        <f t="shared" si="5"/>
        <v>LM-014</v>
      </c>
      <c r="T29" s="27" t="str">
        <f>IF(AND(K29=Lists_Filter!$J$4,G29=Lists_Filter!$J$5),COUNTIFS(K$2:K29,Lists_Filter!$J$4,G$2:G29,Lists_Filter!$J$5),"")</f>
        <v/>
      </c>
    </row>
    <row r="30" spans="1:20" x14ac:dyDescent="0.3">
      <c r="A30" s="27" t="s">
        <v>154</v>
      </c>
      <c r="B30" s="28">
        <v>45425</v>
      </c>
      <c r="C30" s="29" t="s">
        <v>155</v>
      </c>
      <c r="D30" s="29" t="s">
        <v>156</v>
      </c>
      <c r="E30" s="29" t="s">
        <v>66</v>
      </c>
      <c r="F30" s="29" t="s">
        <v>67</v>
      </c>
      <c r="G30" s="29" t="s">
        <v>68</v>
      </c>
      <c r="H30" s="27">
        <v>2</v>
      </c>
      <c r="I30" s="30">
        <v>59.99</v>
      </c>
      <c r="J30" s="29" t="s">
        <v>92</v>
      </c>
      <c r="K30" s="29" t="s">
        <v>56</v>
      </c>
      <c r="L30" s="29" t="s">
        <v>71</v>
      </c>
      <c r="M30" s="28">
        <v>45214</v>
      </c>
      <c r="N30" s="30">
        <f t="shared" si="0"/>
        <v>119.98</v>
      </c>
      <c r="O30" s="28">
        <f t="shared" si="1"/>
        <v>45443</v>
      </c>
      <c r="P30" s="27" t="str">
        <f t="shared" si="2"/>
        <v>May 2024</v>
      </c>
      <c r="Q30" s="29">
        <f t="shared" ca="1" si="3"/>
        <v>900</v>
      </c>
      <c r="R30" s="29">
        <f t="shared" si="4"/>
        <v>6</v>
      </c>
      <c r="S30" s="27" t="str">
        <f t="shared" si="5"/>
        <v>HR-030</v>
      </c>
      <c r="T30" s="27" t="str">
        <f>IF(AND(K30=Lists_Filter!$J$4,G30=Lists_Filter!$J$5),COUNTIFS(K$2:K30,Lists_Filter!$J$4,G$2:G30,Lists_Filter!$J$5),"")</f>
        <v/>
      </c>
    </row>
    <row r="31" spans="1:20" x14ac:dyDescent="0.3">
      <c r="A31" s="27" t="s">
        <v>157</v>
      </c>
      <c r="B31" s="28">
        <v>45427</v>
      </c>
      <c r="C31" s="29" t="s">
        <v>90</v>
      </c>
      <c r="D31" s="29" t="s">
        <v>91</v>
      </c>
      <c r="E31" s="29" t="s">
        <v>158</v>
      </c>
      <c r="F31" s="29" t="s">
        <v>159</v>
      </c>
      <c r="G31" s="29" t="s">
        <v>81</v>
      </c>
      <c r="H31" s="27">
        <v>5</v>
      </c>
      <c r="I31" s="30">
        <v>199.99</v>
      </c>
      <c r="J31" s="29" t="s">
        <v>55</v>
      </c>
      <c r="K31" s="29" t="s">
        <v>70</v>
      </c>
      <c r="L31" s="29" t="s">
        <v>71</v>
      </c>
      <c r="M31" s="28">
        <v>44412</v>
      </c>
      <c r="N31" s="30">
        <f t="shared" si="0"/>
        <v>999.95</v>
      </c>
      <c r="O31" s="28">
        <f t="shared" si="1"/>
        <v>45443</v>
      </c>
      <c r="P31" s="27" t="str">
        <f t="shared" si="2"/>
        <v>May 2024</v>
      </c>
      <c r="Q31" s="29">
        <f t="shared" ca="1" si="3"/>
        <v>898</v>
      </c>
      <c r="R31" s="29">
        <f t="shared" si="4"/>
        <v>33</v>
      </c>
      <c r="S31" s="27" t="str">
        <f t="shared" si="5"/>
        <v>CA-017</v>
      </c>
      <c r="T31" s="27" t="str">
        <f>IF(AND(K31=Lists_Filter!$J$4,G31=Lists_Filter!$J$5),COUNTIFS(K$2:K31,Lists_Filter!$J$4,G$2:G31,Lists_Filter!$J$5),"")</f>
        <v/>
      </c>
    </row>
    <row r="32" spans="1:20" x14ac:dyDescent="0.3">
      <c r="A32" s="27" t="s">
        <v>160</v>
      </c>
      <c r="B32" s="28">
        <v>45427</v>
      </c>
      <c r="C32" s="29" t="s">
        <v>161</v>
      </c>
      <c r="D32" s="29" t="s">
        <v>162</v>
      </c>
      <c r="E32" s="29" t="s">
        <v>66</v>
      </c>
      <c r="F32" s="29" t="s">
        <v>67</v>
      </c>
      <c r="G32" s="29" t="s">
        <v>68</v>
      </c>
      <c r="H32" s="27">
        <v>4</v>
      </c>
      <c r="I32" s="30">
        <v>59.99</v>
      </c>
      <c r="J32" s="29" t="s">
        <v>92</v>
      </c>
      <c r="K32" s="29" t="s">
        <v>98</v>
      </c>
      <c r="L32" s="29" t="s">
        <v>71</v>
      </c>
      <c r="M32" s="28">
        <v>44867</v>
      </c>
      <c r="N32" s="30">
        <f t="shared" si="0"/>
        <v>239.96</v>
      </c>
      <c r="O32" s="28">
        <f t="shared" si="1"/>
        <v>45443</v>
      </c>
      <c r="P32" s="27" t="str">
        <f t="shared" si="2"/>
        <v>May 2024</v>
      </c>
      <c r="Q32" s="29">
        <f t="shared" ca="1" si="3"/>
        <v>898</v>
      </c>
      <c r="R32" s="29">
        <f t="shared" si="4"/>
        <v>18</v>
      </c>
      <c r="S32" s="27" t="str">
        <f t="shared" si="5"/>
        <v>EM-029</v>
      </c>
      <c r="T32" s="27" t="str">
        <f>IF(AND(K32=Lists_Filter!$J$4,G32=Lists_Filter!$J$5),COUNTIFS(K$2:K32,Lists_Filter!$J$4,G$2:G32,Lists_Filter!$J$5),"")</f>
        <v/>
      </c>
    </row>
    <row r="33" spans="1:20" x14ac:dyDescent="0.3">
      <c r="A33" s="27" t="s">
        <v>163</v>
      </c>
      <c r="B33" s="28">
        <v>45428</v>
      </c>
      <c r="C33" s="29" t="s">
        <v>164</v>
      </c>
      <c r="D33" s="29" t="s">
        <v>165</v>
      </c>
      <c r="E33" s="29" t="s">
        <v>79</v>
      </c>
      <c r="F33" s="29" t="s">
        <v>80</v>
      </c>
      <c r="G33" s="29" t="s">
        <v>81</v>
      </c>
      <c r="H33" s="27">
        <v>2</v>
      </c>
      <c r="I33" s="30">
        <v>149.99</v>
      </c>
      <c r="J33" s="29" t="s">
        <v>61</v>
      </c>
      <c r="K33" s="29" t="s">
        <v>85</v>
      </c>
      <c r="L33" s="29" t="s">
        <v>57</v>
      </c>
      <c r="M33" s="28">
        <v>44823</v>
      </c>
      <c r="N33" s="30">
        <f t="shared" si="0"/>
        <v>299.98</v>
      </c>
      <c r="O33" s="28">
        <f t="shared" si="1"/>
        <v>45443</v>
      </c>
      <c r="P33" s="27" t="str">
        <f t="shared" si="2"/>
        <v>May 2024</v>
      </c>
      <c r="Q33" s="29">
        <f t="shared" ca="1" si="3"/>
        <v>897</v>
      </c>
      <c r="R33" s="29">
        <f t="shared" si="4"/>
        <v>19</v>
      </c>
      <c r="S33" s="27" t="str">
        <f t="shared" si="5"/>
        <v>LA-006</v>
      </c>
      <c r="T33" s="27" t="str">
        <f>IF(AND(K33=Lists_Filter!$J$4,G33=Lists_Filter!$J$5),COUNTIFS(K$2:K33,Lists_Filter!$J$4,G$2:G33,Lists_Filter!$J$5),"")</f>
        <v/>
      </c>
    </row>
    <row r="34" spans="1:20" x14ac:dyDescent="0.3">
      <c r="A34" s="27" t="s">
        <v>166</v>
      </c>
      <c r="B34" s="28">
        <v>45430</v>
      </c>
      <c r="C34" s="29" t="s">
        <v>167</v>
      </c>
      <c r="D34" s="29" t="s">
        <v>168</v>
      </c>
      <c r="E34" s="29" t="s">
        <v>79</v>
      </c>
      <c r="F34" s="29" t="s">
        <v>80</v>
      </c>
      <c r="G34" s="29" t="s">
        <v>81</v>
      </c>
      <c r="H34" s="27">
        <v>3</v>
      </c>
      <c r="I34" s="30">
        <v>149.99</v>
      </c>
      <c r="J34" s="29" t="s">
        <v>61</v>
      </c>
      <c r="K34" s="29" t="s">
        <v>85</v>
      </c>
      <c r="L34" s="29" t="s">
        <v>62</v>
      </c>
      <c r="M34" s="28">
        <v>45068</v>
      </c>
      <c r="N34" s="30">
        <f t="shared" si="0"/>
        <v>449.97</v>
      </c>
      <c r="O34" s="28">
        <f t="shared" si="1"/>
        <v>45443</v>
      </c>
      <c r="P34" s="27" t="str">
        <f t="shared" si="2"/>
        <v>May 2024</v>
      </c>
      <c r="Q34" s="29">
        <f t="shared" ca="1" si="3"/>
        <v>895</v>
      </c>
      <c r="R34" s="29">
        <f t="shared" si="4"/>
        <v>11</v>
      </c>
      <c r="S34" s="27" t="str">
        <f t="shared" si="5"/>
        <v>EW-002</v>
      </c>
      <c r="T34" s="27" t="str">
        <f>IF(AND(K34=Lists_Filter!$J$4,G34=Lists_Filter!$J$5),COUNTIFS(K$2:K34,Lists_Filter!$J$4,G$2:G34,Lists_Filter!$J$5),"")</f>
        <v/>
      </c>
    </row>
    <row r="35" spans="1:20" x14ac:dyDescent="0.3">
      <c r="A35" s="27" t="s">
        <v>169</v>
      </c>
      <c r="B35" s="28">
        <v>45432</v>
      </c>
      <c r="C35" s="29" t="s">
        <v>64</v>
      </c>
      <c r="D35" s="29" t="s">
        <v>65</v>
      </c>
      <c r="E35" s="29" t="s">
        <v>96</v>
      </c>
      <c r="F35" s="29" t="s">
        <v>97</v>
      </c>
      <c r="G35" s="29" t="s">
        <v>54</v>
      </c>
      <c r="H35" s="27">
        <v>1</v>
      </c>
      <c r="I35" s="30">
        <v>899.99</v>
      </c>
      <c r="J35" s="29" t="s">
        <v>61</v>
      </c>
      <c r="K35" s="29" t="s">
        <v>85</v>
      </c>
      <c r="L35" s="29" t="s">
        <v>62</v>
      </c>
      <c r="M35" s="28">
        <v>44578</v>
      </c>
      <c r="N35" s="30">
        <f t="shared" si="0"/>
        <v>899.99</v>
      </c>
      <c r="O35" s="28">
        <f t="shared" si="1"/>
        <v>45443</v>
      </c>
      <c r="P35" s="27" t="str">
        <f t="shared" si="2"/>
        <v>May 2024</v>
      </c>
      <c r="Q35" s="29">
        <f t="shared" ca="1" si="3"/>
        <v>893</v>
      </c>
      <c r="R35" s="29">
        <f t="shared" si="4"/>
        <v>28</v>
      </c>
      <c r="S35" s="27" t="str">
        <f t="shared" si="5"/>
        <v>KS-021</v>
      </c>
      <c r="T35" s="27" t="str">
        <f>IF(AND(K35=Lists_Filter!$J$4,G35=Lists_Filter!$J$5),COUNTIFS(K$2:K35,Lists_Filter!$J$4,G$2:G35,Lists_Filter!$J$5),"")</f>
        <v/>
      </c>
    </row>
    <row r="36" spans="1:20" x14ac:dyDescent="0.3">
      <c r="A36" s="27" t="s">
        <v>170</v>
      </c>
      <c r="B36" s="28">
        <v>45434</v>
      </c>
      <c r="C36" s="29" t="s">
        <v>134</v>
      </c>
      <c r="D36" s="29" t="s">
        <v>135</v>
      </c>
      <c r="E36" s="29" t="s">
        <v>140</v>
      </c>
      <c r="F36" s="29" t="s">
        <v>141</v>
      </c>
      <c r="G36" s="29" t="s">
        <v>81</v>
      </c>
      <c r="H36" s="27">
        <v>3</v>
      </c>
      <c r="I36" s="30">
        <v>299.99</v>
      </c>
      <c r="J36" s="29" t="s">
        <v>61</v>
      </c>
      <c r="K36" s="29" t="s">
        <v>98</v>
      </c>
      <c r="L36" s="29" t="s">
        <v>57</v>
      </c>
      <c r="M36" s="28">
        <v>44824</v>
      </c>
      <c r="N36" s="30">
        <f t="shared" si="0"/>
        <v>899.97</v>
      </c>
      <c r="O36" s="28">
        <f t="shared" si="1"/>
        <v>45443</v>
      </c>
      <c r="P36" s="27" t="str">
        <f t="shared" si="2"/>
        <v>May 2024</v>
      </c>
      <c r="Q36" s="29">
        <f t="shared" ca="1" si="3"/>
        <v>891</v>
      </c>
      <c r="R36" s="29">
        <f t="shared" si="4"/>
        <v>20</v>
      </c>
      <c r="S36" s="27" t="str">
        <f t="shared" si="5"/>
        <v>PM-012</v>
      </c>
      <c r="T36" s="27" t="str">
        <f>IF(AND(K36=Lists_Filter!$J$4,G36=Lists_Filter!$J$5),COUNTIFS(K$2:K36,Lists_Filter!$J$4,G$2:G36,Lists_Filter!$J$5),"")</f>
        <v/>
      </c>
    </row>
    <row r="37" spans="1:20" x14ac:dyDescent="0.3">
      <c r="A37" s="27" t="s">
        <v>171</v>
      </c>
      <c r="B37" s="28">
        <v>45435</v>
      </c>
      <c r="C37" s="29" t="s">
        <v>164</v>
      </c>
      <c r="D37" s="29" t="s">
        <v>165</v>
      </c>
      <c r="E37" s="29" t="s">
        <v>152</v>
      </c>
      <c r="F37" s="29" t="s">
        <v>153</v>
      </c>
      <c r="G37" s="29" t="s">
        <v>68</v>
      </c>
      <c r="H37" s="27">
        <v>3</v>
      </c>
      <c r="I37" s="30">
        <v>79.989999999999995</v>
      </c>
      <c r="J37" s="29" t="s">
        <v>55</v>
      </c>
      <c r="K37" s="29" t="s">
        <v>70</v>
      </c>
      <c r="L37" s="29" t="s">
        <v>57</v>
      </c>
      <c r="M37" s="28">
        <v>45046</v>
      </c>
      <c r="N37" s="30">
        <f t="shared" si="0"/>
        <v>239.96999999999997</v>
      </c>
      <c r="O37" s="28">
        <f t="shared" si="1"/>
        <v>45443</v>
      </c>
      <c r="P37" s="27" t="str">
        <f t="shared" si="2"/>
        <v>May 2024</v>
      </c>
      <c r="Q37" s="29">
        <f t="shared" ca="1" si="3"/>
        <v>890</v>
      </c>
      <c r="R37" s="29">
        <f t="shared" si="4"/>
        <v>12</v>
      </c>
      <c r="S37" s="27" t="str">
        <f t="shared" si="5"/>
        <v>LA-006</v>
      </c>
      <c r="T37" s="27" t="str">
        <f>IF(AND(K37=Lists_Filter!$J$4,G37=Lists_Filter!$J$5),COUNTIFS(K$2:K37,Lists_Filter!$J$4,G$2:G37,Lists_Filter!$J$5),"")</f>
        <v/>
      </c>
    </row>
    <row r="38" spans="1:20" x14ac:dyDescent="0.3">
      <c r="A38" s="27" t="s">
        <v>172</v>
      </c>
      <c r="B38" s="28">
        <v>45438</v>
      </c>
      <c r="C38" s="29" t="s">
        <v>173</v>
      </c>
      <c r="D38" s="29" t="s">
        <v>174</v>
      </c>
      <c r="E38" s="29" t="s">
        <v>158</v>
      </c>
      <c r="F38" s="29" t="s">
        <v>159</v>
      </c>
      <c r="G38" s="29" t="s">
        <v>81</v>
      </c>
      <c r="H38" s="27">
        <v>3</v>
      </c>
      <c r="I38" s="30">
        <v>199.99</v>
      </c>
      <c r="J38" s="29" t="s">
        <v>61</v>
      </c>
      <c r="K38" s="29" t="s">
        <v>75</v>
      </c>
      <c r="L38" s="29" t="s">
        <v>62</v>
      </c>
      <c r="M38" s="28">
        <v>45292</v>
      </c>
      <c r="N38" s="30">
        <f t="shared" si="0"/>
        <v>599.97</v>
      </c>
      <c r="O38" s="28">
        <f t="shared" si="1"/>
        <v>45443</v>
      </c>
      <c r="P38" s="27" t="str">
        <f t="shared" si="2"/>
        <v>May 2024</v>
      </c>
      <c r="Q38" s="29">
        <f t="shared" ca="1" si="3"/>
        <v>887</v>
      </c>
      <c r="R38" s="29">
        <f t="shared" si="4"/>
        <v>4</v>
      </c>
      <c r="S38" s="27" t="str">
        <f t="shared" si="5"/>
        <v>ST-031</v>
      </c>
      <c r="T38" s="27" t="str">
        <f>IF(AND(K38=Lists_Filter!$J$4,G38=Lists_Filter!$J$5),COUNTIFS(K$2:K38,Lists_Filter!$J$4,G$2:G38,Lists_Filter!$J$5),"")</f>
        <v/>
      </c>
    </row>
    <row r="39" spans="1:20" x14ac:dyDescent="0.3">
      <c r="A39" s="27" t="s">
        <v>175</v>
      </c>
      <c r="B39" s="28">
        <v>45440</v>
      </c>
      <c r="C39" s="29" t="s">
        <v>176</v>
      </c>
      <c r="D39" s="29" t="s">
        <v>177</v>
      </c>
      <c r="E39" s="29" t="s">
        <v>115</v>
      </c>
      <c r="F39" s="29" t="s">
        <v>116</v>
      </c>
      <c r="G39" s="29" t="s">
        <v>54</v>
      </c>
      <c r="H39" s="27">
        <v>5</v>
      </c>
      <c r="I39" s="30">
        <v>699.99</v>
      </c>
      <c r="J39" s="29" t="s">
        <v>69</v>
      </c>
      <c r="K39" s="29" t="s">
        <v>85</v>
      </c>
      <c r="L39" s="29" t="s">
        <v>71</v>
      </c>
      <c r="M39" s="28">
        <v>44407</v>
      </c>
      <c r="N39" s="30">
        <f t="shared" si="0"/>
        <v>3499.95</v>
      </c>
      <c r="O39" s="28">
        <f t="shared" si="1"/>
        <v>45443</v>
      </c>
      <c r="P39" s="27" t="str">
        <f t="shared" si="2"/>
        <v>May 2024</v>
      </c>
      <c r="Q39" s="29">
        <f t="shared" ca="1" si="3"/>
        <v>885</v>
      </c>
      <c r="R39" s="29">
        <f t="shared" si="4"/>
        <v>33</v>
      </c>
      <c r="S39" s="27" t="str">
        <f t="shared" si="5"/>
        <v>JT-008</v>
      </c>
      <c r="T39" s="27" t="str">
        <f>IF(AND(K39=Lists_Filter!$J$4,G39=Lists_Filter!$J$5),COUNTIFS(K$2:K39,Lists_Filter!$J$4,G$2:G39,Lists_Filter!$J$5),"")</f>
        <v/>
      </c>
    </row>
    <row r="40" spans="1:20" x14ac:dyDescent="0.3">
      <c r="A40" s="27" t="s">
        <v>178</v>
      </c>
      <c r="B40" s="28">
        <v>45441</v>
      </c>
      <c r="C40" s="29" t="s">
        <v>179</v>
      </c>
      <c r="D40" s="29" t="s">
        <v>180</v>
      </c>
      <c r="E40" s="29" t="s">
        <v>146</v>
      </c>
      <c r="F40" s="29" t="s">
        <v>147</v>
      </c>
      <c r="G40" s="29" t="s">
        <v>54</v>
      </c>
      <c r="H40" s="27">
        <v>3</v>
      </c>
      <c r="I40" s="30">
        <v>89.99</v>
      </c>
      <c r="J40" s="29" t="s">
        <v>69</v>
      </c>
      <c r="K40" s="29" t="s">
        <v>56</v>
      </c>
      <c r="L40" s="29" t="s">
        <v>62</v>
      </c>
      <c r="M40" s="28">
        <v>45120</v>
      </c>
      <c r="N40" s="30">
        <f t="shared" si="0"/>
        <v>269.96999999999997</v>
      </c>
      <c r="O40" s="28">
        <f t="shared" si="1"/>
        <v>45443</v>
      </c>
      <c r="P40" s="27" t="str">
        <f t="shared" si="2"/>
        <v>May 2024</v>
      </c>
      <c r="Q40" s="29">
        <f t="shared" ca="1" si="3"/>
        <v>884</v>
      </c>
      <c r="R40" s="29">
        <f t="shared" si="4"/>
        <v>10</v>
      </c>
      <c r="S40" s="27" t="str">
        <f t="shared" si="5"/>
        <v>HM-035</v>
      </c>
      <c r="T40" s="27" t="str">
        <f>IF(AND(K40=Lists_Filter!$J$4,G40=Lists_Filter!$J$5),COUNTIFS(K$2:K40,Lists_Filter!$J$4,G$2:G40,Lists_Filter!$J$5),"")</f>
        <v/>
      </c>
    </row>
    <row r="41" spans="1:20" x14ac:dyDescent="0.3">
      <c r="A41" s="27" t="s">
        <v>181</v>
      </c>
      <c r="B41" s="28">
        <v>45443</v>
      </c>
      <c r="C41" s="29" t="s">
        <v>182</v>
      </c>
      <c r="D41" s="29" t="s">
        <v>183</v>
      </c>
      <c r="E41" s="29" t="s">
        <v>152</v>
      </c>
      <c r="F41" s="29" t="s">
        <v>153</v>
      </c>
      <c r="G41" s="29" t="s">
        <v>68</v>
      </c>
      <c r="H41" s="27">
        <v>1</v>
      </c>
      <c r="I41" s="30">
        <v>79.989999999999995</v>
      </c>
      <c r="J41" s="29" t="s">
        <v>55</v>
      </c>
      <c r="K41" s="29" t="s">
        <v>75</v>
      </c>
      <c r="L41" s="29" t="s">
        <v>71</v>
      </c>
      <c r="M41" s="28">
        <v>44917</v>
      </c>
      <c r="N41" s="30">
        <f t="shared" si="0"/>
        <v>79.989999999999995</v>
      </c>
      <c r="O41" s="28">
        <f t="shared" si="1"/>
        <v>45443</v>
      </c>
      <c r="P41" s="27" t="str">
        <f t="shared" si="2"/>
        <v>May 2024</v>
      </c>
      <c r="Q41" s="29">
        <f t="shared" ca="1" si="3"/>
        <v>882</v>
      </c>
      <c r="R41" s="29">
        <f t="shared" si="4"/>
        <v>17</v>
      </c>
      <c r="S41" s="27" t="str">
        <f t="shared" si="5"/>
        <v>DK-019</v>
      </c>
      <c r="T41" s="27" t="str">
        <f>IF(AND(K41=Lists_Filter!$J$4,G41=Lists_Filter!$J$5),COUNTIFS(K$2:K41,Lists_Filter!$J$4,G$2:G41,Lists_Filter!$J$5),"")</f>
        <v/>
      </c>
    </row>
    <row r="42" spans="1:20" x14ac:dyDescent="0.3">
      <c r="A42" s="27" t="s">
        <v>184</v>
      </c>
      <c r="B42" s="28">
        <v>45444</v>
      </c>
      <c r="C42" s="29" t="s">
        <v>90</v>
      </c>
      <c r="D42" s="29" t="s">
        <v>91</v>
      </c>
      <c r="E42" s="29" t="s">
        <v>146</v>
      </c>
      <c r="F42" s="29" t="s">
        <v>147</v>
      </c>
      <c r="G42" s="29" t="s">
        <v>54</v>
      </c>
      <c r="H42" s="27">
        <v>1</v>
      </c>
      <c r="I42" s="30">
        <v>89.99</v>
      </c>
      <c r="J42" s="29" t="s">
        <v>55</v>
      </c>
      <c r="K42" s="29" t="s">
        <v>75</v>
      </c>
      <c r="L42" s="29" t="s">
        <v>57</v>
      </c>
      <c r="M42" s="28">
        <v>45141</v>
      </c>
      <c r="N42" s="30">
        <f t="shared" si="0"/>
        <v>89.99</v>
      </c>
      <c r="O42" s="28">
        <f t="shared" si="1"/>
        <v>45473</v>
      </c>
      <c r="P42" s="27" t="str">
        <f t="shared" si="2"/>
        <v>Jun 2024</v>
      </c>
      <c r="Q42" s="29">
        <f t="shared" ca="1" si="3"/>
        <v>881</v>
      </c>
      <c r="R42" s="29">
        <f t="shared" si="4"/>
        <v>9</v>
      </c>
      <c r="S42" s="27" t="str">
        <f t="shared" si="5"/>
        <v>CA-017</v>
      </c>
      <c r="T42" s="29">
        <f>IF(AND(K42=Lists_Filter!$J$4,G42=Lists_Filter!$J$5),COUNTIFS(K$2:K42,Lists_Filter!$J$4,G$2:G42,Lists_Filter!$J$5),"")</f>
        <v>6</v>
      </c>
    </row>
    <row r="43" spans="1:20" x14ac:dyDescent="0.3">
      <c r="A43" s="27" t="s">
        <v>185</v>
      </c>
      <c r="B43" s="28">
        <v>45444</v>
      </c>
      <c r="C43" s="29" t="s">
        <v>186</v>
      </c>
      <c r="D43" s="29" t="s">
        <v>187</v>
      </c>
      <c r="E43" s="29" t="s">
        <v>66</v>
      </c>
      <c r="F43" s="29" t="s">
        <v>67</v>
      </c>
      <c r="G43" s="29" t="s">
        <v>68</v>
      </c>
      <c r="H43" s="27">
        <v>2</v>
      </c>
      <c r="I43" s="30">
        <v>59.99</v>
      </c>
      <c r="J43" s="29" t="s">
        <v>55</v>
      </c>
      <c r="K43" s="29" t="s">
        <v>85</v>
      </c>
      <c r="L43" s="29" t="s">
        <v>57</v>
      </c>
      <c r="M43" s="28">
        <v>45390</v>
      </c>
      <c r="N43" s="30">
        <f t="shared" si="0"/>
        <v>119.98</v>
      </c>
      <c r="O43" s="28">
        <f t="shared" si="1"/>
        <v>45473</v>
      </c>
      <c r="P43" s="27" t="str">
        <f t="shared" si="2"/>
        <v>Jun 2024</v>
      </c>
      <c r="Q43" s="29">
        <f t="shared" ca="1" si="3"/>
        <v>881</v>
      </c>
      <c r="R43" s="29">
        <f t="shared" si="4"/>
        <v>1</v>
      </c>
      <c r="S43" s="27" t="str">
        <f t="shared" si="5"/>
        <v>SB-040</v>
      </c>
      <c r="T43" s="27" t="str">
        <f>IF(AND(K43=Lists_Filter!$J$4,G43=Lists_Filter!$J$5),COUNTIFS(K$2:K43,Lists_Filter!$J$4,G$2:G43,Lists_Filter!$J$5),"")</f>
        <v/>
      </c>
    </row>
    <row r="44" spans="1:20" x14ac:dyDescent="0.3">
      <c r="A44" s="27" t="s">
        <v>188</v>
      </c>
      <c r="B44" s="28">
        <v>45446</v>
      </c>
      <c r="C44" s="29" t="s">
        <v>189</v>
      </c>
      <c r="D44" s="29" t="s">
        <v>190</v>
      </c>
      <c r="E44" s="29" t="s">
        <v>146</v>
      </c>
      <c r="F44" s="29" t="s">
        <v>147</v>
      </c>
      <c r="G44" s="29" t="s">
        <v>54</v>
      </c>
      <c r="H44" s="27">
        <v>5</v>
      </c>
      <c r="I44" s="30">
        <v>89.99</v>
      </c>
      <c r="J44" s="29" t="s">
        <v>61</v>
      </c>
      <c r="K44" s="29" t="s">
        <v>98</v>
      </c>
      <c r="L44" s="29" t="s">
        <v>71</v>
      </c>
      <c r="M44" s="28">
        <v>44587</v>
      </c>
      <c r="N44" s="30">
        <f t="shared" si="0"/>
        <v>449.95</v>
      </c>
      <c r="O44" s="28">
        <f t="shared" si="1"/>
        <v>45473</v>
      </c>
      <c r="P44" s="27" t="str">
        <f t="shared" si="2"/>
        <v>Jun 2024</v>
      </c>
      <c r="Q44" s="29">
        <f t="shared" ca="1" si="3"/>
        <v>879</v>
      </c>
      <c r="R44" s="29">
        <f t="shared" si="4"/>
        <v>28</v>
      </c>
      <c r="S44" s="27" t="str">
        <f t="shared" si="5"/>
        <v>SD-004</v>
      </c>
      <c r="T44" s="27" t="str">
        <f>IF(AND(K44=Lists_Filter!$J$4,G44=Lists_Filter!$J$5),COUNTIFS(K$2:K44,Lists_Filter!$J$4,G$2:G44,Lists_Filter!$J$5),"")</f>
        <v/>
      </c>
    </row>
    <row r="45" spans="1:20" x14ac:dyDescent="0.3">
      <c r="A45" s="27" t="s">
        <v>191</v>
      </c>
      <c r="B45" s="28">
        <v>45449</v>
      </c>
      <c r="C45" s="29" t="s">
        <v>192</v>
      </c>
      <c r="D45" s="29" t="s">
        <v>193</v>
      </c>
      <c r="E45" s="29" t="s">
        <v>146</v>
      </c>
      <c r="F45" s="29" t="s">
        <v>147</v>
      </c>
      <c r="G45" s="29" t="s">
        <v>54</v>
      </c>
      <c r="H45" s="27">
        <v>1</v>
      </c>
      <c r="I45" s="30">
        <v>89.99</v>
      </c>
      <c r="J45" s="29" t="s">
        <v>61</v>
      </c>
      <c r="K45" s="29" t="s">
        <v>70</v>
      </c>
      <c r="L45" s="29" t="s">
        <v>71</v>
      </c>
      <c r="M45" s="28">
        <v>44582</v>
      </c>
      <c r="N45" s="30">
        <f t="shared" si="0"/>
        <v>89.99</v>
      </c>
      <c r="O45" s="28">
        <f t="shared" si="1"/>
        <v>45473</v>
      </c>
      <c r="P45" s="27" t="str">
        <f t="shared" si="2"/>
        <v>Jun 2024</v>
      </c>
      <c r="Q45" s="29">
        <f t="shared" ca="1" si="3"/>
        <v>876</v>
      </c>
      <c r="R45" s="29">
        <f t="shared" si="4"/>
        <v>28</v>
      </c>
      <c r="S45" s="27" t="str">
        <f t="shared" si="5"/>
        <v>BC-028</v>
      </c>
      <c r="T45" s="27" t="str">
        <f>IF(AND(K45=Lists_Filter!$J$4,G45=Lists_Filter!$J$5),COUNTIFS(K$2:K45,Lists_Filter!$J$4,G$2:G45,Lists_Filter!$J$5),"")</f>
        <v/>
      </c>
    </row>
    <row r="46" spans="1:20" x14ac:dyDescent="0.3">
      <c r="A46" s="27" t="s">
        <v>194</v>
      </c>
      <c r="B46" s="28">
        <v>45449</v>
      </c>
      <c r="C46" s="29" t="s">
        <v>59</v>
      </c>
      <c r="D46" s="29" t="s">
        <v>60</v>
      </c>
      <c r="E46" s="29" t="s">
        <v>52</v>
      </c>
      <c r="F46" s="29" t="s">
        <v>53</v>
      </c>
      <c r="G46" s="29" t="s">
        <v>54</v>
      </c>
      <c r="H46" s="27">
        <v>5</v>
      </c>
      <c r="I46" s="30">
        <v>249.99</v>
      </c>
      <c r="J46" s="29" t="s">
        <v>61</v>
      </c>
      <c r="K46" s="29" t="s">
        <v>98</v>
      </c>
      <c r="L46" s="29" t="s">
        <v>71</v>
      </c>
      <c r="M46" s="28">
        <v>44707</v>
      </c>
      <c r="N46" s="30">
        <f t="shared" si="0"/>
        <v>1249.95</v>
      </c>
      <c r="O46" s="28">
        <f t="shared" si="1"/>
        <v>45473</v>
      </c>
      <c r="P46" s="27" t="str">
        <f t="shared" si="2"/>
        <v>Jun 2024</v>
      </c>
      <c r="Q46" s="29">
        <f t="shared" ca="1" si="3"/>
        <v>876</v>
      </c>
      <c r="R46" s="29">
        <f t="shared" si="4"/>
        <v>24</v>
      </c>
      <c r="S46" s="27" t="str">
        <f t="shared" si="5"/>
        <v>JJ-013</v>
      </c>
      <c r="T46" s="27" t="str">
        <f>IF(AND(K46=Lists_Filter!$J$4,G46=Lists_Filter!$J$5),COUNTIFS(K$2:K46,Lists_Filter!$J$4,G$2:G46,Lists_Filter!$J$5),"")</f>
        <v/>
      </c>
    </row>
    <row r="47" spans="1:20" x14ac:dyDescent="0.3">
      <c r="A47" s="27" t="s">
        <v>195</v>
      </c>
      <c r="B47" s="28">
        <v>45450</v>
      </c>
      <c r="C47" s="29" t="s">
        <v>77</v>
      </c>
      <c r="D47" s="29" t="s">
        <v>78</v>
      </c>
      <c r="E47" s="29" t="s">
        <v>79</v>
      </c>
      <c r="F47" s="29" t="s">
        <v>80</v>
      </c>
      <c r="G47" s="29" t="s">
        <v>81</v>
      </c>
      <c r="H47" s="27">
        <v>2</v>
      </c>
      <c r="I47" s="30">
        <v>149.99</v>
      </c>
      <c r="J47" s="29" t="s">
        <v>55</v>
      </c>
      <c r="K47" s="29" t="s">
        <v>98</v>
      </c>
      <c r="L47" s="29" t="s">
        <v>62</v>
      </c>
      <c r="M47" s="28">
        <v>44645</v>
      </c>
      <c r="N47" s="30">
        <f t="shared" si="0"/>
        <v>299.98</v>
      </c>
      <c r="O47" s="28">
        <f t="shared" si="1"/>
        <v>45473</v>
      </c>
      <c r="P47" s="27" t="str">
        <f t="shared" si="2"/>
        <v>Jun 2024</v>
      </c>
      <c r="Q47" s="29">
        <f t="shared" ca="1" si="3"/>
        <v>875</v>
      </c>
      <c r="R47" s="29">
        <f t="shared" si="4"/>
        <v>26</v>
      </c>
      <c r="S47" s="27" t="str">
        <f t="shared" si="5"/>
        <v>MB-003</v>
      </c>
      <c r="T47" s="27" t="str">
        <f>IF(AND(K47=Lists_Filter!$J$4,G47=Lists_Filter!$J$5),COUNTIFS(K$2:K47,Lists_Filter!$J$4,G$2:G47,Lists_Filter!$J$5),"")</f>
        <v/>
      </c>
    </row>
    <row r="48" spans="1:20" x14ac:dyDescent="0.3">
      <c r="A48" s="27" t="s">
        <v>196</v>
      </c>
      <c r="B48" s="28">
        <v>45452</v>
      </c>
      <c r="C48" s="29" t="s">
        <v>197</v>
      </c>
      <c r="D48" s="29" t="s">
        <v>198</v>
      </c>
      <c r="E48" s="29" t="s">
        <v>66</v>
      </c>
      <c r="F48" s="29" t="s">
        <v>67</v>
      </c>
      <c r="G48" s="29" t="s">
        <v>68</v>
      </c>
      <c r="H48" s="27">
        <v>4</v>
      </c>
      <c r="I48" s="30">
        <v>59.99</v>
      </c>
      <c r="J48" s="29" t="s">
        <v>55</v>
      </c>
      <c r="K48" s="29" t="s">
        <v>98</v>
      </c>
      <c r="L48" s="29" t="s">
        <v>71</v>
      </c>
      <c r="M48" s="28">
        <v>44435</v>
      </c>
      <c r="N48" s="30">
        <f t="shared" si="0"/>
        <v>239.96</v>
      </c>
      <c r="O48" s="28">
        <f t="shared" si="1"/>
        <v>45473</v>
      </c>
      <c r="P48" s="27" t="str">
        <f t="shared" si="2"/>
        <v>Jun 2024</v>
      </c>
      <c r="Q48" s="29">
        <f t="shared" ca="1" si="3"/>
        <v>873</v>
      </c>
      <c r="R48" s="29">
        <f t="shared" si="4"/>
        <v>33</v>
      </c>
      <c r="S48" s="27" t="str">
        <f t="shared" si="5"/>
        <v>JF-050</v>
      </c>
      <c r="T48" s="27" t="str">
        <f>IF(AND(K48=Lists_Filter!$J$4,G48=Lists_Filter!$J$5),COUNTIFS(K$2:K48,Lists_Filter!$J$4,G$2:G48,Lists_Filter!$J$5),"")</f>
        <v/>
      </c>
    </row>
    <row r="49" spans="1:20" x14ac:dyDescent="0.3">
      <c r="A49" s="27" t="s">
        <v>199</v>
      </c>
      <c r="B49" s="28">
        <v>45456</v>
      </c>
      <c r="C49" s="29" t="s">
        <v>164</v>
      </c>
      <c r="D49" s="29" t="s">
        <v>165</v>
      </c>
      <c r="E49" s="29" t="s">
        <v>146</v>
      </c>
      <c r="F49" s="29" t="s">
        <v>147</v>
      </c>
      <c r="G49" s="29" t="s">
        <v>54</v>
      </c>
      <c r="H49" s="27">
        <v>5</v>
      </c>
      <c r="I49" s="30">
        <v>89.99</v>
      </c>
      <c r="J49" s="29" t="s">
        <v>55</v>
      </c>
      <c r="K49" s="29" t="s">
        <v>56</v>
      </c>
      <c r="L49" s="29" t="s">
        <v>62</v>
      </c>
      <c r="M49" s="28">
        <v>44579</v>
      </c>
      <c r="N49" s="30">
        <f t="shared" si="0"/>
        <v>449.95</v>
      </c>
      <c r="O49" s="28">
        <f t="shared" si="1"/>
        <v>45473</v>
      </c>
      <c r="P49" s="27" t="str">
        <f t="shared" si="2"/>
        <v>Jun 2024</v>
      </c>
      <c r="Q49" s="29">
        <f t="shared" ca="1" si="3"/>
        <v>869</v>
      </c>
      <c r="R49" s="29">
        <f t="shared" si="4"/>
        <v>28</v>
      </c>
      <c r="S49" s="27" t="str">
        <f t="shared" si="5"/>
        <v>LA-006</v>
      </c>
      <c r="T49" s="27" t="str">
        <f>IF(AND(K49=Lists_Filter!$J$4,G49=Lists_Filter!$J$5),COUNTIFS(K$2:K49,Lists_Filter!$J$4,G$2:G49,Lists_Filter!$J$5),"")</f>
        <v/>
      </c>
    </row>
    <row r="50" spans="1:20" x14ac:dyDescent="0.3">
      <c r="A50" s="27" t="s">
        <v>200</v>
      </c>
      <c r="B50" s="28">
        <v>45459</v>
      </c>
      <c r="C50" s="29" t="s">
        <v>161</v>
      </c>
      <c r="D50" s="29" t="s">
        <v>162</v>
      </c>
      <c r="E50" s="29" t="s">
        <v>96</v>
      </c>
      <c r="F50" s="29" t="s">
        <v>97</v>
      </c>
      <c r="G50" s="29" t="s">
        <v>54</v>
      </c>
      <c r="H50" s="27">
        <v>5</v>
      </c>
      <c r="I50" s="30">
        <v>899.99</v>
      </c>
      <c r="J50" s="29" t="s">
        <v>69</v>
      </c>
      <c r="K50" s="29" t="s">
        <v>98</v>
      </c>
      <c r="L50" s="29" t="s">
        <v>62</v>
      </c>
      <c r="M50" s="28">
        <v>45278</v>
      </c>
      <c r="N50" s="30">
        <f t="shared" si="0"/>
        <v>4499.95</v>
      </c>
      <c r="O50" s="28">
        <f t="shared" si="1"/>
        <v>45473</v>
      </c>
      <c r="P50" s="27" t="str">
        <f t="shared" si="2"/>
        <v>Jun 2024</v>
      </c>
      <c r="Q50" s="29">
        <f t="shared" ca="1" si="3"/>
        <v>866</v>
      </c>
      <c r="R50" s="29">
        <f t="shared" si="4"/>
        <v>5</v>
      </c>
      <c r="S50" s="27" t="str">
        <f t="shared" si="5"/>
        <v>EM-029</v>
      </c>
      <c r="T50" s="27" t="str">
        <f>IF(AND(K50=Lists_Filter!$J$4,G50=Lists_Filter!$J$5),COUNTIFS(K$2:K50,Lists_Filter!$J$4,G$2:G50,Lists_Filter!$J$5),"")</f>
        <v/>
      </c>
    </row>
    <row r="51" spans="1:20" x14ac:dyDescent="0.3">
      <c r="A51" s="27" t="s">
        <v>201</v>
      </c>
      <c r="B51" s="28">
        <v>45459</v>
      </c>
      <c r="C51" s="29" t="s">
        <v>134</v>
      </c>
      <c r="D51" s="29" t="s">
        <v>135</v>
      </c>
      <c r="E51" s="29" t="s">
        <v>146</v>
      </c>
      <c r="F51" s="29" t="s">
        <v>147</v>
      </c>
      <c r="G51" s="29" t="s">
        <v>54</v>
      </c>
      <c r="H51" s="27">
        <v>2</v>
      </c>
      <c r="I51" s="30">
        <v>89.99</v>
      </c>
      <c r="J51" s="29" t="s">
        <v>61</v>
      </c>
      <c r="K51" s="29" t="s">
        <v>70</v>
      </c>
      <c r="L51" s="29" t="s">
        <v>62</v>
      </c>
      <c r="M51" s="28">
        <v>44471</v>
      </c>
      <c r="N51" s="30">
        <f t="shared" si="0"/>
        <v>179.98</v>
      </c>
      <c r="O51" s="28">
        <f t="shared" si="1"/>
        <v>45473</v>
      </c>
      <c r="P51" s="27" t="str">
        <f t="shared" si="2"/>
        <v>Jun 2024</v>
      </c>
      <c r="Q51" s="29">
        <f t="shared" ca="1" si="3"/>
        <v>866</v>
      </c>
      <c r="R51" s="29">
        <f t="shared" si="4"/>
        <v>32</v>
      </c>
      <c r="S51" s="27" t="str">
        <f t="shared" si="5"/>
        <v>PM-012</v>
      </c>
      <c r="T51" s="27" t="str">
        <f>IF(AND(K51=Lists_Filter!$J$4,G51=Lists_Filter!$J$5),COUNTIFS(K$2:K51,Lists_Filter!$J$4,G$2:G51,Lists_Filter!$J$5),"")</f>
        <v/>
      </c>
    </row>
    <row r="52" spans="1:20" x14ac:dyDescent="0.3">
      <c r="A52" s="27" t="s">
        <v>202</v>
      </c>
      <c r="B52" s="28">
        <v>45459</v>
      </c>
      <c r="C52" s="29" t="s">
        <v>50</v>
      </c>
      <c r="D52" s="29" t="s">
        <v>51</v>
      </c>
      <c r="E52" s="29" t="s">
        <v>96</v>
      </c>
      <c r="F52" s="29" t="s">
        <v>97</v>
      </c>
      <c r="G52" s="29" t="s">
        <v>54</v>
      </c>
      <c r="H52" s="27">
        <v>5</v>
      </c>
      <c r="I52" s="30">
        <v>899.99</v>
      </c>
      <c r="J52" s="29" t="s">
        <v>61</v>
      </c>
      <c r="K52" s="29" t="s">
        <v>70</v>
      </c>
      <c r="L52" s="29" t="s">
        <v>71</v>
      </c>
      <c r="M52" s="28">
        <v>44974</v>
      </c>
      <c r="N52" s="30">
        <f t="shared" si="0"/>
        <v>4499.95</v>
      </c>
      <c r="O52" s="28">
        <f t="shared" si="1"/>
        <v>45473</v>
      </c>
      <c r="P52" s="27" t="str">
        <f t="shared" si="2"/>
        <v>Jun 2024</v>
      </c>
      <c r="Q52" s="29">
        <f t="shared" ca="1" si="3"/>
        <v>866</v>
      </c>
      <c r="R52" s="29">
        <f t="shared" si="4"/>
        <v>15</v>
      </c>
      <c r="S52" s="27" t="str">
        <f t="shared" si="5"/>
        <v>PB-023</v>
      </c>
      <c r="T52" s="27" t="str">
        <f>IF(AND(K52=Lists_Filter!$J$4,G52=Lists_Filter!$J$5),COUNTIFS(K$2:K52,Lists_Filter!$J$4,G$2:G52,Lists_Filter!$J$5),"")</f>
        <v/>
      </c>
    </row>
    <row r="53" spans="1:20" x14ac:dyDescent="0.3">
      <c r="A53" s="27" t="s">
        <v>203</v>
      </c>
      <c r="B53" s="28">
        <v>45460</v>
      </c>
      <c r="C53" s="29" t="s">
        <v>192</v>
      </c>
      <c r="D53" s="29" t="s">
        <v>193</v>
      </c>
      <c r="E53" s="29" t="s">
        <v>66</v>
      </c>
      <c r="F53" s="29" t="s">
        <v>67</v>
      </c>
      <c r="G53" s="29" t="s">
        <v>68</v>
      </c>
      <c r="H53" s="27">
        <v>1</v>
      </c>
      <c r="I53" s="30">
        <v>59.99</v>
      </c>
      <c r="J53" s="29" t="s">
        <v>92</v>
      </c>
      <c r="K53" s="29" t="s">
        <v>85</v>
      </c>
      <c r="L53" s="29" t="s">
        <v>62</v>
      </c>
      <c r="M53" s="28">
        <v>45190</v>
      </c>
      <c r="N53" s="30">
        <f t="shared" si="0"/>
        <v>59.99</v>
      </c>
      <c r="O53" s="28">
        <f t="shared" si="1"/>
        <v>45473</v>
      </c>
      <c r="P53" s="27" t="str">
        <f t="shared" si="2"/>
        <v>Jun 2024</v>
      </c>
      <c r="Q53" s="29">
        <f t="shared" ca="1" si="3"/>
        <v>865</v>
      </c>
      <c r="R53" s="29">
        <f t="shared" si="4"/>
        <v>8</v>
      </c>
      <c r="S53" s="27" t="str">
        <f t="shared" si="5"/>
        <v>BC-028</v>
      </c>
      <c r="T53" s="27" t="str">
        <f>IF(AND(K53=Lists_Filter!$J$4,G53=Lists_Filter!$J$5),COUNTIFS(K$2:K53,Lists_Filter!$J$4,G$2:G53,Lists_Filter!$J$5),"")</f>
        <v/>
      </c>
    </row>
    <row r="54" spans="1:20" x14ac:dyDescent="0.3">
      <c r="A54" s="27" t="s">
        <v>204</v>
      </c>
      <c r="B54" s="28">
        <v>45460</v>
      </c>
      <c r="C54" s="29" t="s">
        <v>176</v>
      </c>
      <c r="D54" s="29" t="s">
        <v>177</v>
      </c>
      <c r="E54" s="29" t="s">
        <v>140</v>
      </c>
      <c r="F54" s="29" t="s">
        <v>141</v>
      </c>
      <c r="G54" s="29" t="s">
        <v>81</v>
      </c>
      <c r="H54" s="27">
        <v>2</v>
      </c>
      <c r="I54" s="30">
        <v>299.99</v>
      </c>
      <c r="J54" s="29" t="s">
        <v>92</v>
      </c>
      <c r="K54" s="29" t="s">
        <v>98</v>
      </c>
      <c r="L54" s="29" t="s">
        <v>71</v>
      </c>
      <c r="M54" s="28">
        <v>45253</v>
      </c>
      <c r="N54" s="30">
        <f t="shared" si="0"/>
        <v>599.98</v>
      </c>
      <c r="O54" s="28">
        <f t="shared" si="1"/>
        <v>45473</v>
      </c>
      <c r="P54" s="27" t="str">
        <f t="shared" si="2"/>
        <v>Jun 2024</v>
      </c>
      <c r="Q54" s="29">
        <f t="shared" ca="1" si="3"/>
        <v>865</v>
      </c>
      <c r="R54" s="29">
        <f t="shared" si="4"/>
        <v>6</v>
      </c>
      <c r="S54" s="27" t="str">
        <f t="shared" si="5"/>
        <v>JT-008</v>
      </c>
      <c r="T54" s="27" t="str">
        <f>IF(AND(K54=Lists_Filter!$J$4,G54=Lists_Filter!$J$5),COUNTIFS(K$2:K54,Lists_Filter!$J$4,G$2:G54,Lists_Filter!$J$5),"")</f>
        <v/>
      </c>
    </row>
    <row r="55" spans="1:20" x14ac:dyDescent="0.3">
      <c r="A55" s="27" t="s">
        <v>205</v>
      </c>
      <c r="B55" s="28">
        <v>45468</v>
      </c>
      <c r="C55" s="29" t="s">
        <v>206</v>
      </c>
      <c r="D55" s="29" t="s">
        <v>207</v>
      </c>
      <c r="E55" s="29" t="s">
        <v>146</v>
      </c>
      <c r="F55" s="29" t="s">
        <v>147</v>
      </c>
      <c r="G55" s="29" t="s">
        <v>54</v>
      </c>
      <c r="H55" s="27">
        <v>4</v>
      </c>
      <c r="I55" s="30">
        <v>89.99</v>
      </c>
      <c r="J55" s="29" t="s">
        <v>92</v>
      </c>
      <c r="K55" s="29" t="s">
        <v>70</v>
      </c>
      <c r="L55" s="29" t="s">
        <v>57</v>
      </c>
      <c r="M55" s="28">
        <v>45281</v>
      </c>
      <c r="N55" s="30">
        <f t="shared" si="0"/>
        <v>359.96</v>
      </c>
      <c r="O55" s="28">
        <f t="shared" si="1"/>
        <v>45473</v>
      </c>
      <c r="P55" s="27" t="str">
        <f t="shared" si="2"/>
        <v>Jun 2024</v>
      </c>
      <c r="Q55" s="29">
        <f t="shared" ca="1" si="3"/>
        <v>857</v>
      </c>
      <c r="R55" s="29">
        <f t="shared" si="4"/>
        <v>6</v>
      </c>
      <c r="S55" s="27" t="str">
        <f t="shared" si="5"/>
        <v>RR-049</v>
      </c>
      <c r="T55" s="27" t="str">
        <f>IF(AND(K55=Lists_Filter!$J$4,G55=Lists_Filter!$J$5),COUNTIFS(K$2:K55,Lists_Filter!$J$4,G$2:G55,Lists_Filter!$J$5),"")</f>
        <v/>
      </c>
    </row>
    <row r="56" spans="1:20" x14ac:dyDescent="0.3">
      <c r="A56" s="27" t="s">
        <v>208</v>
      </c>
      <c r="B56" s="28">
        <v>45469</v>
      </c>
      <c r="C56" s="29" t="s">
        <v>94</v>
      </c>
      <c r="D56" s="29" t="s">
        <v>95</v>
      </c>
      <c r="E56" s="29" t="s">
        <v>146</v>
      </c>
      <c r="F56" s="29" t="s">
        <v>147</v>
      </c>
      <c r="G56" s="29" t="s">
        <v>54</v>
      </c>
      <c r="H56" s="27">
        <v>2</v>
      </c>
      <c r="I56" s="30">
        <v>89.99</v>
      </c>
      <c r="J56" s="29" t="s">
        <v>55</v>
      </c>
      <c r="K56" s="29" t="s">
        <v>85</v>
      </c>
      <c r="L56" s="29" t="s">
        <v>57</v>
      </c>
      <c r="M56" s="28">
        <v>44438</v>
      </c>
      <c r="N56" s="30">
        <f t="shared" si="0"/>
        <v>179.98</v>
      </c>
      <c r="O56" s="28">
        <f t="shared" si="1"/>
        <v>45473</v>
      </c>
      <c r="P56" s="27" t="str">
        <f t="shared" si="2"/>
        <v>Jun 2024</v>
      </c>
      <c r="Q56" s="29">
        <f t="shared" ca="1" si="3"/>
        <v>856</v>
      </c>
      <c r="R56" s="29">
        <f t="shared" si="4"/>
        <v>33</v>
      </c>
      <c r="S56" s="27" t="str">
        <f t="shared" si="5"/>
        <v>RT-009</v>
      </c>
      <c r="T56" s="27" t="str">
        <f>IF(AND(K56=Lists_Filter!$J$4,G56=Lists_Filter!$J$5),COUNTIFS(K$2:K56,Lists_Filter!$J$4,G$2:G56,Lists_Filter!$J$5),"")</f>
        <v/>
      </c>
    </row>
    <row r="57" spans="1:20" x14ac:dyDescent="0.3">
      <c r="A57" s="27" t="s">
        <v>209</v>
      </c>
      <c r="B57" s="28">
        <v>45469</v>
      </c>
      <c r="C57" s="29" t="s">
        <v>64</v>
      </c>
      <c r="D57" s="29" t="s">
        <v>65</v>
      </c>
      <c r="E57" s="29" t="s">
        <v>152</v>
      </c>
      <c r="F57" s="29" t="s">
        <v>153</v>
      </c>
      <c r="G57" s="29" t="s">
        <v>68</v>
      </c>
      <c r="H57" s="27">
        <v>1</v>
      </c>
      <c r="I57" s="30">
        <v>79.989999999999995</v>
      </c>
      <c r="J57" s="29" t="s">
        <v>69</v>
      </c>
      <c r="K57" s="29" t="s">
        <v>56</v>
      </c>
      <c r="L57" s="29" t="s">
        <v>62</v>
      </c>
      <c r="M57" s="28">
        <v>45352</v>
      </c>
      <c r="N57" s="30">
        <f t="shared" si="0"/>
        <v>79.989999999999995</v>
      </c>
      <c r="O57" s="28">
        <f t="shared" si="1"/>
        <v>45473</v>
      </c>
      <c r="P57" s="27" t="str">
        <f t="shared" si="2"/>
        <v>Jun 2024</v>
      </c>
      <c r="Q57" s="29">
        <f t="shared" ca="1" si="3"/>
        <v>856</v>
      </c>
      <c r="R57" s="29">
        <f t="shared" si="4"/>
        <v>3</v>
      </c>
      <c r="S57" s="27" t="str">
        <f t="shared" si="5"/>
        <v>KS-021</v>
      </c>
      <c r="T57" s="27" t="str">
        <f>IF(AND(K57=Lists_Filter!$J$4,G57=Lists_Filter!$J$5),COUNTIFS(K$2:K57,Lists_Filter!$J$4,G$2:G57,Lists_Filter!$J$5),"")</f>
        <v/>
      </c>
    </row>
    <row r="58" spans="1:20" x14ac:dyDescent="0.3">
      <c r="A58" s="27" t="s">
        <v>210</v>
      </c>
      <c r="B58" s="28">
        <v>45471</v>
      </c>
      <c r="C58" s="29" t="s">
        <v>134</v>
      </c>
      <c r="D58" s="29" t="s">
        <v>135</v>
      </c>
      <c r="E58" s="29" t="s">
        <v>96</v>
      </c>
      <c r="F58" s="29" t="s">
        <v>97</v>
      </c>
      <c r="G58" s="29" t="s">
        <v>54</v>
      </c>
      <c r="H58" s="27">
        <v>4</v>
      </c>
      <c r="I58" s="30">
        <v>899.99</v>
      </c>
      <c r="J58" s="29" t="s">
        <v>61</v>
      </c>
      <c r="K58" s="29" t="s">
        <v>98</v>
      </c>
      <c r="L58" s="29" t="s">
        <v>62</v>
      </c>
      <c r="M58" s="28">
        <v>44993</v>
      </c>
      <c r="N58" s="30">
        <f t="shared" si="0"/>
        <v>3599.96</v>
      </c>
      <c r="O58" s="28">
        <f t="shared" si="1"/>
        <v>45473</v>
      </c>
      <c r="P58" s="27" t="str">
        <f t="shared" si="2"/>
        <v>Jun 2024</v>
      </c>
      <c r="Q58" s="29">
        <f t="shared" ca="1" si="3"/>
        <v>854</v>
      </c>
      <c r="R58" s="29">
        <f t="shared" si="4"/>
        <v>15</v>
      </c>
      <c r="S58" s="27" t="str">
        <f t="shared" si="5"/>
        <v>PM-012</v>
      </c>
      <c r="T58" s="27" t="str">
        <f>IF(AND(K58=Lists_Filter!$J$4,G58=Lists_Filter!$J$5),COUNTIFS(K$2:K58,Lists_Filter!$J$4,G$2:G58,Lists_Filter!$J$5),"")</f>
        <v/>
      </c>
    </row>
    <row r="59" spans="1:20" x14ac:dyDescent="0.3">
      <c r="A59" s="27" t="s">
        <v>211</v>
      </c>
      <c r="B59" s="28">
        <v>45471</v>
      </c>
      <c r="C59" s="29" t="s">
        <v>73</v>
      </c>
      <c r="D59" s="29" t="s">
        <v>74</v>
      </c>
      <c r="E59" s="29" t="s">
        <v>115</v>
      </c>
      <c r="F59" s="29" t="s">
        <v>116</v>
      </c>
      <c r="G59" s="29" t="s">
        <v>54</v>
      </c>
      <c r="H59" s="27">
        <v>3</v>
      </c>
      <c r="I59" s="30">
        <v>699.99</v>
      </c>
      <c r="J59" s="29" t="s">
        <v>61</v>
      </c>
      <c r="K59" s="29" t="s">
        <v>98</v>
      </c>
      <c r="L59" s="29" t="s">
        <v>62</v>
      </c>
      <c r="M59" s="28">
        <v>45102</v>
      </c>
      <c r="N59" s="30">
        <f t="shared" si="0"/>
        <v>2099.9700000000003</v>
      </c>
      <c r="O59" s="28">
        <f t="shared" si="1"/>
        <v>45473</v>
      </c>
      <c r="P59" s="27" t="str">
        <f t="shared" si="2"/>
        <v>Jun 2024</v>
      </c>
      <c r="Q59" s="29">
        <f t="shared" ca="1" si="3"/>
        <v>854</v>
      </c>
      <c r="R59" s="29">
        <f t="shared" si="4"/>
        <v>12</v>
      </c>
      <c r="S59" s="27" t="str">
        <f t="shared" si="5"/>
        <v>KB-046</v>
      </c>
      <c r="T59" s="27" t="str">
        <f>IF(AND(K59=Lists_Filter!$J$4,G59=Lists_Filter!$J$5),COUNTIFS(K$2:K59,Lists_Filter!$J$4,G$2:G59,Lists_Filter!$J$5),"")</f>
        <v/>
      </c>
    </row>
    <row r="60" spans="1:20" x14ac:dyDescent="0.3">
      <c r="A60" s="27" t="s">
        <v>212</v>
      </c>
      <c r="B60" s="28">
        <v>45472</v>
      </c>
      <c r="C60" s="29" t="s">
        <v>155</v>
      </c>
      <c r="D60" s="29" t="s">
        <v>156</v>
      </c>
      <c r="E60" s="29" t="s">
        <v>79</v>
      </c>
      <c r="F60" s="29" t="s">
        <v>80</v>
      </c>
      <c r="G60" s="29" t="s">
        <v>81</v>
      </c>
      <c r="H60" s="27">
        <v>1</v>
      </c>
      <c r="I60" s="30">
        <v>149.99</v>
      </c>
      <c r="J60" s="29" t="s">
        <v>69</v>
      </c>
      <c r="K60" s="29" t="s">
        <v>98</v>
      </c>
      <c r="L60" s="29" t="s">
        <v>57</v>
      </c>
      <c r="M60" s="28">
        <v>44851</v>
      </c>
      <c r="N60" s="30">
        <f t="shared" si="0"/>
        <v>149.99</v>
      </c>
      <c r="O60" s="28">
        <f t="shared" si="1"/>
        <v>45473</v>
      </c>
      <c r="P60" s="27" t="str">
        <f t="shared" si="2"/>
        <v>Jun 2024</v>
      </c>
      <c r="Q60" s="29">
        <f t="shared" ca="1" si="3"/>
        <v>853</v>
      </c>
      <c r="R60" s="29">
        <f t="shared" si="4"/>
        <v>20</v>
      </c>
      <c r="S60" s="27" t="str">
        <f t="shared" si="5"/>
        <v>HR-030</v>
      </c>
      <c r="T60" s="27" t="str">
        <f>IF(AND(K60=Lists_Filter!$J$4,G60=Lists_Filter!$J$5),COUNTIFS(K$2:K60,Lists_Filter!$J$4,G$2:G60,Lists_Filter!$J$5),"")</f>
        <v/>
      </c>
    </row>
    <row r="61" spans="1:20" x14ac:dyDescent="0.3">
      <c r="A61" s="27" t="s">
        <v>213</v>
      </c>
      <c r="B61" s="28">
        <v>45474</v>
      </c>
      <c r="C61" s="29" t="s">
        <v>167</v>
      </c>
      <c r="D61" s="29" t="s">
        <v>168</v>
      </c>
      <c r="E61" s="29" t="s">
        <v>146</v>
      </c>
      <c r="F61" s="29" t="s">
        <v>147</v>
      </c>
      <c r="G61" s="29" t="s">
        <v>54</v>
      </c>
      <c r="H61" s="27">
        <v>2</v>
      </c>
      <c r="I61" s="30">
        <v>89.99</v>
      </c>
      <c r="J61" s="29" t="s">
        <v>69</v>
      </c>
      <c r="K61" s="29" t="s">
        <v>56</v>
      </c>
      <c r="L61" s="29" t="s">
        <v>62</v>
      </c>
      <c r="M61" s="28">
        <v>45275</v>
      </c>
      <c r="N61" s="30">
        <f t="shared" si="0"/>
        <v>179.98</v>
      </c>
      <c r="O61" s="28">
        <f t="shared" si="1"/>
        <v>45504</v>
      </c>
      <c r="P61" s="27" t="str">
        <f t="shared" si="2"/>
        <v>Jul 2024</v>
      </c>
      <c r="Q61" s="29">
        <f t="shared" ca="1" si="3"/>
        <v>851</v>
      </c>
      <c r="R61" s="29">
        <f t="shared" si="4"/>
        <v>6</v>
      </c>
      <c r="S61" s="27" t="str">
        <f t="shared" si="5"/>
        <v>EW-002</v>
      </c>
      <c r="T61" s="27" t="str">
        <f>IF(AND(K61=Lists_Filter!$J$4,G61=Lists_Filter!$J$5),COUNTIFS(K$2:K61,Lists_Filter!$J$4,G$2:G61,Lists_Filter!$J$5),"")</f>
        <v/>
      </c>
    </row>
    <row r="62" spans="1:20" x14ac:dyDescent="0.3">
      <c r="A62" s="27" t="s">
        <v>214</v>
      </c>
      <c r="B62" s="28">
        <v>45475</v>
      </c>
      <c r="C62" s="29" t="s">
        <v>90</v>
      </c>
      <c r="D62" s="29" t="s">
        <v>91</v>
      </c>
      <c r="E62" s="29" t="s">
        <v>146</v>
      </c>
      <c r="F62" s="29" t="s">
        <v>147</v>
      </c>
      <c r="G62" s="29" t="s">
        <v>54</v>
      </c>
      <c r="H62" s="27">
        <v>1</v>
      </c>
      <c r="I62" s="30">
        <v>89.99</v>
      </c>
      <c r="J62" s="29" t="s">
        <v>69</v>
      </c>
      <c r="K62" s="29" t="s">
        <v>85</v>
      </c>
      <c r="L62" s="29" t="s">
        <v>71</v>
      </c>
      <c r="M62" s="28">
        <v>44802</v>
      </c>
      <c r="N62" s="30">
        <f t="shared" si="0"/>
        <v>89.99</v>
      </c>
      <c r="O62" s="28">
        <f t="shared" si="1"/>
        <v>45504</v>
      </c>
      <c r="P62" s="27" t="str">
        <f t="shared" si="2"/>
        <v>Jul 2024</v>
      </c>
      <c r="Q62" s="29">
        <f t="shared" ca="1" si="3"/>
        <v>850</v>
      </c>
      <c r="R62" s="29">
        <f t="shared" si="4"/>
        <v>22</v>
      </c>
      <c r="S62" s="27" t="str">
        <f t="shared" si="5"/>
        <v>CA-017</v>
      </c>
      <c r="T62" s="27" t="str">
        <f>IF(AND(K62=Lists_Filter!$J$4,G62=Lists_Filter!$J$5),COUNTIFS(K$2:K62,Lists_Filter!$J$4,G$2:G62,Lists_Filter!$J$5),"")</f>
        <v/>
      </c>
    </row>
    <row r="63" spans="1:20" x14ac:dyDescent="0.3">
      <c r="A63" s="27" t="s">
        <v>215</v>
      </c>
      <c r="B63" s="28">
        <v>45476</v>
      </c>
      <c r="C63" s="29" t="s">
        <v>100</v>
      </c>
      <c r="D63" s="29" t="s">
        <v>101</v>
      </c>
      <c r="E63" s="29" t="s">
        <v>146</v>
      </c>
      <c r="F63" s="29" t="s">
        <v>147</v>
      </c>
      <c r="G63" s="29" t="s">
        <v>54</v>
      </c>
      <c r="H63" s="27">
        <v>1</v>
      </c>
      <c r="I63" s="30">
        <v>89.99</v>
      </c>
      <c r="J63" s="29" t="s">
        <v>55</v>
      </c>
      <c r="K63" s="29" t="s">
        <v>70</v>
      </c>
      <c r="L63" s="29" t="s">
        <v>71</v>
      </c>
      <c r="M63" s="28">
        <v>44611</v>
      </c>
      <c r="N63" s="30">
        <f t="shared" si="0"/>
        <v>89.99</v>
      </c>
      <c r="O63" s="28">
        <f t="shared" si="1"/>
        <v>45504</v>
      </c>
      <c r="P63" s="27" t="str">
        <f t="shared" si="2"/>
        <v>Jul 2024</v>
      </c>
      <c r="Q63" s="29">
        <f t="shared" ca="1" si="3"/>
        <v>849</v>
      </c>
      <c r="R63" s="29">
        <f t="shared" si="4"/>
        <v>28</v>
      </c>
      <c r="S63" s="27" t="str">
        <f t="shared" si="5"/>
        <v>SG-022</v>
      </c>
      <c r="T63" s="27" t="str">
        <f>IF(AND(K63=Lists_Filter!$J$4,G63=Lists_Filter!$J$5),COUNTIFS(K$2:K63,Lists_Filter!$J$4,G$2:G63,Lists_Filter!$J$5),"")</f>
        <v/>
      </c>
    </row>
    <row r="64" spans="1:20" x14ac:dyDescent="0.3">
      <c r="A64" s="27" t="s">
        <v>216</v>
      </c>
      <c r="B64" s="28">
        <v>45476</v>
      </c>
      <c r="C64" s="29" t="s">
        <v>217</v>
      </c>
      <c r="D64" s="29" t="s">
        <v>218</v>
      </c>
      <c r="E64" s="29" t="s">
        <v>152</v>
      </c>
      <c r="F64" s="29" t="s">
        <v>153</v>
      </c>
      <c r="G64" s="29" t="s">
        <v>68</v>
      </c>
      <c r="H64" s="27">
        <v>5</v>
      </c>
      <c r="I64" s="30">
        <v>79.989999999999995</v>
      </c>
      <c r="J64" s="29" t="s">
        <v>92</v>
      </c>
      <c r="K64" s="29" t="s">
        <v>56</v>
      </c>
      <c r="L64" s="29" t="s">
        <v>57</v>
      </c>
      <c r="M64" s="28">
        <v>44981</v>
      </c>
      <c r="N64" s="30">
        <f t="shared" si="0"/>
        <v>399.95</v>
      </c>
      <c r="O64" s="28">
        <f t="shared" si="1"/>
        <v>45504</v>
      </c>
      <c r="P64" s="27" t="str">
        <f t="shared" si="2"/>
        <v>Jul 2024</v>
      </c>
      <c r="Q64" s="29">
        <f t="shared" ca="1" si="3"/>
        <v>849</v>
      </c>
      <c r="R64" s="29">
        <f t="shared" si="4"/>
        <v>16</v>
      </c>
      <c r="S64" s="27" t="str">
        <f t="shared" si="5"/>
        <v>DM-007</v>
      </c>
      <c r="T64" s="27" t="str">
        <f>IF(AND(K64=Lists_Filter!$J$4,G64=Lists_Filter!$J$5),COUNTIFS(K$2:K64,Lists_Filter!$J$4,G$2:G64,Lists_Filter!$J$5),"")</f>
        <v/>
      </c>
    </row>
    <row r="65" spans="1:20" x14ac:dyDescent="0.3">
      <c r="A65" s="27" t="s">
        <v>219</v>
      </c>
      <c r="B65" s="28">
        <v>45481</v>
      </c>
      <c r="C65" s="29" t="s">
        <v>220</v>
      </c>
      <c r="D65" s="29" t="s">
        <v>221</v>
      </c>
      <c r="E65" s="29" t="s">
        <v>79</v>
      </c>
      <c r="F65" s="29" t="s">
        <v>80</v>
      </c>
      <c r="G65" s="29" t="s">
        <v>81</v>
      </c>
      <c r="H65" s="27">
        <v>1</v>
      </c>
      <c r="I65" s="30">
        <v>149.99</v>
      </c>
      <c r="J65" s="29" t="s">
        <v>69</v>
      </c>
      <c r="K65" s="29" t="s">
        <v>75</v>
      </c>
      <c r="L65" s="29" t="s">
        <v>57</v>
      </c>
      <c r="M65" s="28">
        <v>44421</v>
      </c>
      <c r="N65" s="30">
        <f t="shared" si="0"/>
        <v>149.99</v>
      </c>
      <c r="O65" s="28">
        <f t="shared" si="1"/>
        <v>45504</v>
      </c>
      <c r="P65" s="27" t="str">
        <f t="shared" si="2"/>
        <v>Jul 2024</v>
      </c>
      <c r="Q65" s="29">
        <f t="shared" ca="1" si="3"/>
        <v>844</v>
      </c>
      <c r="R65" s="29">
        <f t="shared" si="4"/>
        <v>34</v>
      </c>
      <c r="S65" s="27" t="str">
        <f t="shared" si="5"/>
        <v>MW-020</v>
      </c>
      <c r="T65" s="27" t="str">
        <f>IF(AND(K65=Lists_Filter!$J$4,G65=Lists_Filter!$J$5),COUNTIFS(K$2:K65,Lists_Filter!$J$4,G$2:G65,Lists_Filter!$J$5),"")</f>
        <v/>
      </c>
    </row>
    <row r="66" spans="1:20" x14ac:dyDescent="0.3">
      <c r="A66" s="27" t="s">
        <v>222</v>
      </c>
      <c r="B66" s="28">
        <v>45481</v>
      </c>
      <c r="C66" s="29" t="s">
        <v>77</v>
      </c>
      <c r="D66" s="29" t="s">
        <v>78</v>
      </c>
      <c r="E66" s="29" t="s">
        <v>115</v>
      </c>
      <c r="F66" s="29" t="s">
        <v>116</v>
      </c>
      <c r="G66" s="29" t="s">
        <v>54</v>
      </c>
      <c r="H66" s="27">
        <v>2</v>
      </c>
      <c r="I66" s="30">
        <v>699.99</v>
      </c>
      <c r="J66" s="29" t="s">
        <v>69</v>
      </c>
      <c r="K66" s="29" t="s">
        <v>98</v>
      </c>
      <c r="L66" s="29" t="s">
        <v>62</v>
      </c>
      <c r="M66" s="28">
        <v>45389</v>
      </c>
      <c r="N66" s="30">
        <f t="shared" ref="N66:N129" si="6">H66*I66</f>
        <v>1399.98</v>
      </c>
      <c r="O66" s="28">
        <f t="shared" ref="O66:O129" si="7">EOMONTH(B66,0)</f>
        <v>45504</v>
      </c>
      <c r="P66" s="27" t="str">
        <f t="shared" ref="P66:P129" si="8">TEXT(B66,"mmm yyyy")</f>
        <v>Jul 2024</v>
      </c>
      <c r="Q66" s="29">
        <f t="shared" ref="Q66:Q129" ca="1" si="9">TODAY()-B66</f>
        <v>844</v>
      </c>
      <c r="R66" s="29">
        <f t="shared" ref="R66:R129" si="10">IFERROR(DATEDIF(M66,B66,"m"),0)</f>
        <v>3</v>
      </c>
      <c r="S66" s="27" t="str">
        <f t="shared" ref="S66:S129" si="11">UPPER(LEFT(D66,1))&amp;UPPER(MID(D66,FIND(" ",D66)+1,1))&amp;"-"&amp;RIGHT(C66,3)</f>
        <v>MB-003</v>
      </c>
      <c r="T66" s="27" t="str">
        <f>IF(AND(K66=Lists_Filter!$J$4,G66=Lists_Filter!$J$5),COUNTIFS(K$2:K66,Lists_Filter!$J$4,G$2:G66,Lists_Filter!$J$5),"")</f>
        <v/>
      </c>
    </row>
    <row r="67" spans="1:20" x14ac:dyDescent="0.3">
      <c r="A67" s="27" t="s">
        <v>223</v>
      </c>
      <c r="B67" s="28">
        <v>45481</v>
      </c>
      <c r="C67" s="29" t="s">
        <v>131</v>
      </c>
      <c r="D67" s="29" t="s">
        <v>132</v>
      </c>
      <c r="E67" s="29" t="s">
        <v>146</v>
      </c>
      <c r="F67" s="29" t="s">
        <v>147</v>
      </c>
      <c r="G67" s="29" t="s">
        <v>54</v>
      </c>
      <c r="H67" s="27">
        <v>5</v>
      </c>
      <c r="I67" s="30">
        <v>89.99</v>
      </c>
      <c r="J67" s="29" t="s">
        <v>92</v>
      </c>
      <c r="K67" s="29" t="s">
        <v>75</v>
      </c>
      <c r="L67" s="29" t="s">
        <v>62</v>
      </c>
      <c r="M67" s="28">
        <v>45161</v>
      </c>
      <c r="N67" s="30">
        <f t="shared" si="6"/>
        <v>449.95</v>
      </c>
      <c r="O67" s="28">
        <f t="shared" si="7"/>
        <v>45504</v>
      </c>
      <c r="P67" s="27" t="str">
        <f t="shared" si="8"/>
        <v>Jul 2024</v>
      </c>
      <c r="Q67" s="29">
        <f t="shared" ca="1" si="9"/>
        <v>844</v>
      </c>
      <c r="R67" s="29">
        <f t="shared" si="10"/>
        <v>10</v>
      </c>
      <c r="S67" s="27" t="str">
        <f t="shared" si="11"/>
        <v>BY-018</v>
      </c>
      <c r="T67" s="29">
        <f>IF(AND(K67=Lists_Filter!$J$4,G67=Lists_Filter!$J$5),COUNTIFS(K$2:K67,Lists_Filter!$J$4,G$2:G67,Lists_Filter!$J$5),"")</f>
        <v>7</v>
      </c>
    </row>
    <row r="68" spans="1:20" x14ac:dyDescent="0.3">
      <c r="A68" s="27" t="s">
        <v>224</v>
      </c>
      <c r="B68" s="28">
        <v>45482</v>
      </c>
      <c r="C68" s="29" t="s">
        <v>206</v>
      </c>
      <c r="D68" s="29" t="s">
        <v>207</v>
      </c>
      <c r="E68" s="29" t="s">
        <v>66</v>
      </c>
      <c r="F68" s="29" t="s">
        <v>67</v>
      </c>
      <c r="G68" s="29" t="s">
        <v>68</v>
      </c>
      <c r="H68" s="27">
        <v>4</v>
      </c>
      <c r="I68" s="30">
        <v>59.99</v>
      </c>
      <c r="J68" s="29" t="s">
        <v>55</v>
      </c>
      <c r="K68" s="29" t="s">
        <v>70</v>
      </c>
      <c r="L68" s="29" t="s">
        <v>71</v>
      </c>
      <c r="M68" s="28">
        <v>44509</v>
      </c>
      <c r="N68" s="30">
        <f t="shared" si="6"/>
        <v>239.96</v>
      </c>
      <c r="O68" s="28">
        <f t="shared" si="7"/>
        <v>45504</v>
      </c>
      <c r="P68" s="27" t="str">
        <f t="shared" si="8"/>
        <v>Jul 2024</v>
      </c>
      <c r="Q68" s="29">
        <f t="shared" ca="1" si="9"/>
        <v>843</v>
      </c>
      <c r="R68" s="29">
        <f t="shared" si="10"/>
        <v>32</v>
      </c>
      <c r="S68" s="27" t="str">
        <f t="shared" si="11"/>
        <v>RR-049</v>
      </c>
      <c r="T68" s="27" t="str">
        <f>IF(AND(K68=Lists_Filter!$J$4,G68=Lists_Filter!$J$5),COUNTIFS(K$2:K68,Lists_Filter!$J$4,G$2:G68,Lists_Filter!$J$5),"")</f>
        <v/>
      </c>
    </row>
    <row r="69" spans="1:20" x14ac:dyDescent="0.3">
      <c r="A69" s="27" t="s">
        <v>225</v>
      </c>
      <c r="B69" s="28">
        <v>45484</v>
      </c>
      <c r="C69" s="29" t="s">
        <v>59</v>
      </c>
      <c r="D69" s="29" t="s">
        <v>60</v>
      </c>
      <c r="E69" s="29" t="s">
        <v>87</v>
      </c>
      <c r="F69" s="29" t="s">
        <v>88</v>
      </c>
      <c r="G69" s="29" t="s">
        <v>54</v>
      </c>
      <c r="H69" s="27">
        <v>1</v>
      </c>
      <c r="I69" s="30">
        <v>149.99</v>
      </c>
      <c r="J69" s="29" t="s">
        <v>55</v>
      </c>
      <c r="K69" s="29" t="s">
        <v>56</v>
      </c>
      <c r="L69" s="29" t="s">
        <v>71</v>
      </c>
      <c r="M69" s="28">
        <v>44909</v>
      </c>
      <c r="N69" s="30">
        <f t="shared" si="6"/>
        <v>149.99</v>
      </c>
      <c r="O69" s="28">
        <f t="shared" si="7"/>
        <v>45504</v>
      </c>
      <c r="P69" s="27" t="str">
        <f t="shared" si="8"/>
        <v>Jul 2024</v>
      </c>
      <c r="Q69" s="29">
        <f t="shared" ca="1" si="9"/>
        <v>841</v>
      </c>
      <c r="R69" s="29">
        <f t="shared" si="10"/>
        <v>18</v>
      </c>
      <c r="S69" s="27" t="str">
        <f t="shared" si="11"/>
        <v>JJ-013</v>
      </c>
      <c r="T69" s="27" t="str">
        <f>IF(AND(K69=Lists_Filter!$J$4,G69=Lists_Filter!$J$5),COUNTIFS(K$2:K69,Lists_Filter!$J$4,G$2:G69,Lists_Filter!$J$5),"")</f>
        <v/>
      </c>
    </row>
    <row r="70" spans="1:20" x14ac:dyDescent="0.3">
      <c r="A70" s="27" t="s">
        <v>226</v>
      </c>
      <c r="B70" s="28">
        <v>45484</v>
      </c>
      <c r="C70" s="29" t="s">
        <v>227</v>
      </c>
      <c r="D70" s="29" t="s">
        <v>228</v>
      </c>
      <c r="E70" s="29" t="s">
        <v>140</v>
      </c>
      <c r="F70" s="29" t="s">
        <v>141</v>
      </c>
      <c r="G70" s="29" t="s">
        <v>81</v>
      </c>
      <c r="H70" s="27">
        <v>1</v>
      </c>
      <c r="I70" s="30">
        <v>299.99</v>
      </c>
      <c r="J70" s="29" t="s">
        <v>61</v>
      </c>
      <c r="K70" s="29" t="s">
        <v>75</v>
      </c>
      <c r="L70" s="29" t="s">
        <v>62</v>
      </c>
      <c r="M70" s="28">
        <v>44891</v>
      </c>
      <c r="N70" s="30">
        <f t="shared" si="6"/>
        <v>299.99</v>
      </c>
      <c r="O70" s="28">
        <f t="shared" si="7"/>
        <v>45504</v>
      </c>
      <c r="P70" s="27" t="str">
        <f t="shared" si="8"/>
        <v>Jul 2024</v>
      </c>
      <c r="Q70" s="29">
        <f t="shared" ca="1" si="9"/>
        <v>841</v>
      </c>
      <c r="R70" s="29">
        <f t="shared" si="10"/>
        <v>19</v>
      </c>
      <c r="S70" s="27" t="str">
        <f t="shared" si="11"/>
        <v>FT-033</v>
      </c>
      <c r="T70" s="27" t="str">
        <f>IF(AND(K70=Lists_Filter!$J$4,G70=Lists_Filter!$J$5),COUNTIFS(K$2:K70,Lists_Filter!$J$4,G$2:G70,Lists_Filter!$J$5),"")</f>
        <v/>
      </c>
    </row>
    <row r="71" spans="1:20" x14ac:dyDescent="0.3">
      <c r="A71" s="27" t="s">
        <v>229</v>
      </c>
      <c r="B71" s="28">
        <v>45487</v>
      </c>
      <c r="C71" s="29" t="s">
        <v>227</v>
      </c>
      <c r="D71" s="29" t="s">
        <v>228</v>
      </c>
      <c r="E71" s="29" t="s">
        <v>158</v>
      </c>
      <c r="F71" s="29" t="s">
        <v>159</v>
      </c>
      <c r="G71" s="29" t="s">
        <v>81</v>
      </c>
      <c r="H71" s="27">
        <v>2</v>
      </c>
      <c r="I71" s="30">
        <v>199.99</v>
      </c>
      <c r="J71" s="29" t="s">
        <v>55</v>
      </c>
      <c r="K71" s="29" t="s">
        <v>75</v>
      </c>
      <c r="L71" s="29" t="s">
        <v>57</v>
      </c>
      <c r="M71" s="28">
        <v>44541</v>
      </c>
      <c r="N71" s="30">
        <f t="shared" si="6"/>
        <v>399.98</v>
      </c>
      <c r="O71" s="28">
        <f t="shared" si="7"/>
        <v>45504</v>
      </c>
      <c r="P71" s="27" t="str">
        <f t="shared" si="8"/>
        <v>Jul 2024</v>
      </c>
      <c r="Q71" s="29">
        <f t="shared" ca="1" si="9"/>
        <v>838</v>
      </c>
      <c r="R71" s="29">
        <f t="shared" si="10"/>
        <v>31</v>
      </c>
      <c r="S71" s="27" t="str">
        <f t="shared" si="11"/>
        <v>FT-033</v>
      </c>
      <c r="T71" s="27" t="str">
        <f>IF(AND(K71=Lists_Filter!$J$4,G71=Lists_Filter!$J$5),COUNTIFS(K$2:K71,Lists_Filter!$J$4,G$2:G71,Lists_Filter!$J$5),"")</f>
        <v/>
      </c>
    </row>
    <row r="72" spans="1:20" x14ac:dyDescent="0.3">
      <c r="A72" s="27" t="s">
        <v>230</v>
      </c>
      <c r="B72" s="28">
        <v>45490</v>
      </c>
      <c r="C72" s="29" t="s">
        <v>231</v>
      </c>
      <c r="D72" s="29" t="s">
        <v>232</v>
      </c>
      <c r="E72" s="29" t="s">
        <v>66</v>
      </c>
      <c r="F72" s="29" t="s">
        <v>67</v>
      </c>
      <c r="G72" s="29" t="s">
        <v>68</v>
      </c>
      <c r="H72" s="27">
        <v>3</v>
      </c>
      <c r="I72" s="30">
        <v>59.99</v>
      </c>
      <c r="J72" s="29" t="s">
        <v>61</v>
      </c>
      <c r="K72" s="29" t="s">
        <v>85</v>
      </c>
      <c r="L72" s="29" t="s">
        <v>57</v>
      </c>
      <c r="M72" s="28">
        <v>45130</v>
      </c>
      <c r="N72" s="30">
        <f t="shared" si="6"/>
        <v>179.97</v>
      </c>
      <c r="O72" s="28">
        <f t="shared" si="7"/>
        <v>45504</v>
      </c>
      <c r="P72" s="27" t="str">
        <f t="shared" si="8"/>
        <v>Jul 2024</v>
      </c>
      <c r="Q72" s="29">
        <f t="shared" ca="1" si="9"/>
        <v>835</v>
      </c>
      <c r="R72" s="29">
        <f t="shared" si="10"/>
        <v>11</v>
      </c>
      <c r="S72" s="27" t="str">
        <f t="shared" si="11"/>
        <v>GM-047</v>
      </c>
      <c r="T72" s="27" t="str">
        <f>IF(AND(K72=Lists_Filter!$J$4,G72=Lists_Filter!$J$5),COUNTIFS(K$2:K72,Lists_Filter!$J$4,G$2:G72,Lists_Filter!$J$5),"")</f>
        <v/>
      </c>
    </row>
    <row r="73" spans="1:20" x14ac:dyDescent="0.3">
      <c r="A73" s="27" t="s">
        <v>233</v>
      </c>
      <c r="B73" s="28">
        <v>45490</v>
      </c>
      <c r="C73" s="29" t="s">
        <v>107</v>
      </c>
      <c r="D73" s="29" t="s">
        <v>108</v>
      </c>
      <c r="E73" s="29" t="s">
        <v>79</v>
      </c>
      <c r="F73" s="29" t="s">
        <v>80</v>
      </c>
      <c r="G73" s="29" t="s">
        <v>81</v>
      </c>
      <c r="H73" s="27">
        <v>3</v>
      </c>
      <c r="I73" s="30">
        <v>149.99</v>
      </c>
      <c r="J73" s="29" t="s">
        <v>55</v>
      </c>
      <c r="K73" s="29" t="s">
        <v>56</v>
      </c>
      <c r="L73" s="29" t="s">
        <v>62</v>
      </c>
      <c r="M73" s="28">
        <v>45199</v>
      </c>
      <c r="N73" s="30">
        <f t="shared" si="6"/>
        <v>449.97</v>
      </c>
      <c r="O73" s="28">
        <f t="shared" si="7"/>
        <v>45504</v>
      </c>
      <c r="P73" s="27" t="str">
        <f t="shared" si="8"/>
        <v>Jul 2024</v>
      </c>
      <c r="Q73" s="29">
        <f t="shared" ca="1" si="9"/>
        <v>835</v>
      </c>
      <c r="R73" s="29">
        <f t="shared" si="10"/>
        <v>9</v>
      </c>
      <c r="S73" s="27" t="str">
        <f t="shared" si="11"/>
        <v>PR-041</v>
      </c>
      <c r="T73" s="27" t="str">
        <f>IF(AND(K73=Lists_Filter!$J$4,G73=Lists_Filter!$J$5),COUNTIFS(K$2:K73,Lists_Filter!$J$4,G$2:G73,Lists_Filter!$J$5),"")</f>
        <v/>
      </c>
    </row>
    <row r="74" spans="1:20" x14ac:dyDescent="0.3">
      <c r="A74" s="27" t="s">
        <v>234</v>
      </c>
      <c r="B74" s="28">
        <v>45491</v>
      </c>
      <c r="C74" s="29" t="s">
        <v>103</v>
      </c>
      <c r="D74" s="29" t="s">
        <v>104</v>
      </c>
      <c r="E74" s="29" t="s">
        <v>158</v>
      </c>
      <c r="F74" s="29" t="s">
        <v>159</v>
      </c>
      <c r="G74" s="29" t="s">
        <v>81</v>
      </c>
      <c r="H74" s="27">
        <v>3</v>
      </c>
      <c r="I74" s="30">
        <v>199.99</v>
      </c>
      <c r="J74" s="29" t="s">
        <v>55</v>
      </c>
      <c r="K74" s="29" t="s">
        <v>75</v>
      </c>
      <c r="L74" s="29" t="s">
        <v>62</v>
      </c>
      <c r="M74" s="28">
        <v>45254</v>
      </c>
      <c r="N74" s="30">
        <f t="shared" si="6"/>
        <v>599.97</v>
      </c>
      <c r="O74" s="28">
        <f t="shared" si="7"/>
        <v>45504</v>
      </c>
      <c r="P74" s="27" t="str">
        <f t="shared" si="8"/>
        <v>Jul 2024</v>
      </c>
      <c r="Q74" s="29">
        <f t="shared" ca="1" si="9"/>
        <v>834</v>
      </c>
      <c r="R74" s="29">
        <f t="shared" si="10"/>
        <v>7</v>
      </c>
      <c r="S74" s="27" t="str">
        <f t="shared" si="11"/>
        <v>KH-026</v>
      </c>
      <c r="T74" s="27" t="str">
        <f>IF(AND(K74=Lists_Filter!$J$4,G74=Lists_Filter!$J$5),COUNTIFS(K$2:K74,Lists_Filter!$J$4,G$2:G74,Lists_Filter!$J$5),"")</f>
        <v/>
      </c>
    </row>
    <row r="75" spans="1:20" x14ac:dyDescent="0.3">
      <c r="A75" s="27" t="s">
        <v>235</v>
      </c>
      <c r="B75" s="28">
        <v>45496</v>
      </c>
      <c r="C75" s="29" t="s">
        <v>186</v>
      </c>
      <c r="D75" s="29" t="s">
        <v>187</v>
      </c>
      <c r="E75" s="29" t="s">
        <v>96</v>
      </c>
      <c r="F75" s="29" t="s">
        <v>97</v>
      </c>
      <c r="G75" s="29" t="s">
        <v>54</v>
      </c>
      <c r="H75" s="27">
        <v>1</v>
      </c>
      <c r="I75" s="30">
        <v>899.99</v>
      </c>
      <c r="J75" s="29" t="s">
        <v>55</v>
      </c>
      <c r="K75" s="29" t="s">
        <v>56</v>
      </c>
      <c r="L75" s="29" t="s">
        <v>71</v>
      </c>
      <c r="M75" s="28">
        <v>45179</v>
      </c>
      <c r="N75" s="30">
        <f t="shared" si="6"/>
        <v>899.99</v>
      </c>
      <c r="O75" s="28">
        <f t="shared" si="7"/>
        <v>45504</v>
      </c>
      <c r="P75" s="27" t="str">
        <f t="shared" si="8"/>
        <v>Jul 2024</v>
      </c>
      <c r="Q75" s="29">
        <f t="shared" ca="1" si="9"/>
        <v>829</v>
      </c>
      <c r="R75" s="29">
        <f t="shared" si="10"/>
        <v>10</v>
      </c>
      <c r="S75" s="27" t="str">
        <f t="shared" si="11"/>
        <v>SB-040</v>
      </c>
      <c r="T75" s="27" t="str">
        <f>IF(AND(K75=Lists_Filter!$J$4,G75=Lists_Filter!$J$5),COUNTIFS(K$2:K75,Lists_Filter!$J$4,G$2:G75,Lists_Filter!$J$5),"")</f>
        <v/>
      </c>
    </row>
    <row r="76" spans="1:20" x14ac:dyDescent="0.3">
      <c r="A76" s="27" t="s">
        <v>236</v>
      </c>
      <c r="B76" s="28">
        <v>45497</v>
      </c>
      <c r="C76" s="29" t="s">
        <v>59</v>
      </c>
      <c r="D76" s="29" t="s">
        <v>60</v>
      </c>
      <c r="E76" s="29" t="s">
        <v>96</v>
      </c>
      <c r="F76" s="29" t="s">
        <v>97</v>
      </c>
      <c r="G76" s="29" t="s">
        <v>54</v>
      </c>
      <c r="H76" s="27">
        <v>5</v>
      </c>
      <c r="I76" s="30">
        <v>899.99</v>
      </c>
      <c r="J76" s="29" t="s">
        <v>92</v>
      </c>
      <c r="K76" s="29" t="s">
        <v>70</v>
      </c>
      <c r="L76" s="29" t="s">
        <v>71</v>
      </c>
      <c r="M76" s="28">
        <v>44899</v>
      </c>
      <c r="N76" s="30">
        <f t="shared" si="6"/>
        <v>4499.95</v>
      </c>
      <c r="O76" s="28">
        <f t="shared" si="7"/>
        <v>45504</v>
      </c>
      <c r="P76" s="27" t="str">
        <f t="shared" si="8"/>
        <v>Jul 2024</v>
      </c>
      <c r="Q76" s="29">
        <f t="shared" ca="1" si="9"/>
        <v>828</v>
      </c>
      <c r="R76" s="29">
        <f t="shared" si="10"/>
        <v>19</v>
      </c>
      <c r="S76" s="27" t="str">
        <f t="shared" si="11"/>
        <v>JJ-013</v>
      </c>
      <c r="T76" s="27" t="str">
        <f>IF(AND(K76=Lists_Filter!$J$4,G76=Lists_Filter!$J$5),COUNTIFS(K$2:K76,Lists_Filter!$J$4,G$2:G76,Lists_Filter!$J$5),"")</f>
        <v/>
      </c>
    </row>
    <row r="77" spans="1:20" x14ac:dyDescent="0.3">
      <c r="A77" s="27" t="s">
        <v>237</v>
      </c>
      <c r="B77" s="28">
        <v>45498</v>
      </c>
      <c r="C77" s="29" t="s">
        <v>217</v>
      </c>
      <c r="D77" s="29" t="s">
        <v>218</v>
      </c>
      <c r="E77" s="29" t="s">
        <v>66</v>
      </c>
      <c r="F77" s="29" t="s">
        <v>67</v>
      </c>
      <c r="G77" s="29" t="s">
        <v>68</v>
      </c>
      <c r="H77" s="27">
        <v>2</v>
      </c>
      <c r="I77" s="30">
        <v>59.99</v>
      </c>
      <c r="J77" s="29" t="s">
        <v>55</v>
      </c>
      <c r="K77" s="29" t="s">
        <v>75</v>
      </c>
      <c r="L77" s="29" t="s">
        <v>71</v>
      </c>
      <c r="M77" s="28">
        <v>45152</v>
      </c>
      <c r="N77" s="30">
        <f t="shared" si="6"/>
        <v>119.98</v>
      </c>
      <c r="O77" s="28">
        <f t="shared" si="7"/>
        <v>45504</v>
      </c>
      <c r="P77" s="27" t="str">
        <f t="shared" si="8"/>
        <v>Jul 2024</v>
      </c>
      <c r="Q77" s="29">
        <f t="shared" ca="1" si="9"/>
        <v>827</v>
      </c>
      <c r="R77" s="29">
        <f t="shared" si="10"/>
        <v>11</v>
      </c>
      <c r="S77" s="27" t="str">
        <f t="shared" si="11"/>
        <v>DM-007</v>
      </c>
      <c r="T77" s="27" t="str">
        <f>IF(AND(K77=Lists_Filter!$J$4,G77=Lists_Filter!$J$5),COUNTIFS(K$2:K77,Lists_Filter!$J$4,G$2:G77,Lists_Filter!$J$5),"")</f>
        <v/>
      </c>
    </row>
    <row r="78" spans="1:20" x14ac:dyDescent="0.3">
      <c r="A78" s="27" t="s">
        <v>238</v>
      </c>
      <c r="B78" s="28">
        <v>45498</v>
      </c>
      <c r="C78" s="29" t="s">
        <v>231</v>
      </c>
      <c r="D78" s="29" t="s">
        <v>232</v>
      </c>
      <c r="E78" s="29" t="s">
        <v>52</v>
      </c>
      <c r="F78" s="29" t="s">
        <v>53</v>
      </c>
      <c r="G78" s="29" t="s">
        <v>54</v>
      </c>
      <c r="H78" s="27">
        <v>4</v>
      </c>
      <c r="I78" s="30">
        <v>249.99</v>
      </c>
      <c r="J78" s="29" t="s">
        <v>92</v>
      </c>
      <c r="K78" s="29" t="s">
        <v>56</v>
      </c>
      <c r="L78" s="29" t="s">
        <v>71</v>
      </c>
      <c r="M78" s="28">
        <v>45127</v>
      </c>
      <c r="N78" s="30">
        <f t="shared" si="6"/>
        <v>999.96</v>
      </c>
      <c r="O78" s="28">
        <f t="shared" si="7"/>
        <v>45504</v>
      </c>
      <c r="P78" s="27" t="str">
        <f t="shared" si="8"/>
        <v>Jul 2024</v>
      </c>
      <c r="Q78" s="29">
        <f t="shared" ca="1" si="9"/>
        <v>827</v>
      </c>
      <c r="R78" s="29">
        <f t="shared" si="10"/>
        <v>12</v>
      </c>
      <c r="S78" s="27" t="str">
        <f t="shared" si="11"/>
        <v>GM-047</v>
      </c>
      <c r="T78" s="27" t="str">
        <f>IF(AND(K78=Lists_Filter!$J$4,G78=Lists_Filter!$J$5),COUNTIFS(K$2:K78,Lists_Filter!$J$4,G$2:G78,Lists_Filter!$J$5),"")</f>
        <v/>
      </c>
    </row>
    <row r="79" spans="1:20" x14ac:dyDescent="0.3">
      <c r="A79" s="27" t="s">
        <v>239</v>
      </c>
      <c r="B79" s="28">
        <v>45500</v>
      </c>
      <c r="C79" s="29" t="s">
        <v>131</v>
      </c>
      <c r="D79" s="29" t="s">
        <v>132</v>
      </c>
      <c r="E79" s="29" t="s">
        <v>52</v>
      </c>
      <c r="F79" s="29" t="s">
        <v>53</v>
      </c>
      <c r="G79" s="29" t="s">
        <v>54</v>
      </c>
      <c r="H79" s="27">
        <v>2</v>
      </c>
      <c r="I79" s="30">
        <v>249.99</v>
      </c>
      <c r="J79" s="29" t="s">
        <v>55</v>
      </c>
      <c r="K79" s="29" t="s">
        <v>75</v>
      </c>
      <c r="L79" s="29" t="s">
        <v>62</v>
      </c>
      <c r="M79" s="28">
        <v>45164</v>
      </c>
      <c r="N79" s="30">
        <f t="shared" si="6"/>
        <v>499.98</v>
      </c>
      <c r="O79" s="28">
        <f t="shared" si="7"/>
        <v>45504</v>
      </c>
      <c r="P79" s="27" t="str">
        <f t="shared" si="8"/>
        <v>Jul 2024</v>
      </c>
      <c r="Q79" s="29">
        <f t="shared" ca="1" si="9"/>
        <v>825</v>
      </c>
      <c r="R79" s="29">
        <f t="shared" si="10"/>
        <v>11</v>
      </c>
      <c r="S79" s="27" t="str">
        <f t="shared" si="11"/>
        <v>BY-018</v>
      </c>
      <c r="T79" s="29">
        <f>IF(AND(K79=Lists_Filter!$J$4,G79=Lists_Filter!$J$5),COUNTIFS(K$2:K79,Lists_Filter!$J$4,G$2:G79,Lists_Filter!$J$5),"")</f>
        <v>8</v>
      </c>
    </row>
    <row r="80" spans="1:20" x14ac:dyDescent="0.3">
      <c r="A80" s="27" t="s">
        <v>240</v>
      </c>
      <c r="B80" s="28">
        <v>45500</v>
      </c>
      <c r="C80" s="29" t="s">
        <v>182</v>
      </c>
      <c r="D80" s="29" t="s">
        <v>183</v>
      </c>
      <c r="E80" s="29" t="s">
        <v>140</v>
      </c>
      <c r="F80" s="29" t="s">
        <v>141</v>
      </c>
      <c r="G80" s="29" t="s">
        <v>81</v>
      </c>
      <c r="H80" s="27">
        <v>1</v>
      </c>
      <c r="I80" s="30">
        <v>299.99</v>
      </c>
      <c r="J80" s="29" t="s">
        <v>55</v>
      </c>
      <c r="K80" s="29" t="s">
        <v>70</v>
      </c>
      <c r="L80" s="29" t="s">
        <v>57</v>
      </c>
      <c r="M80" s="28">
        <v>44982</v>
      </c>
      <c r="N80" s="30">
        <f t="shared" si="6"/>
        <v>299.99</v>
      </c>
      <c r="O80" s="28">
        <f t="shared" si="7"/>
        <v>45504</v>
      </c>
      <c r="P80" s="27" t="str">
        <f t="shared" si="8"/>
        <v>Jul 2024</v>
      </c>
      <c r="Q80" s="29">
        <f t="shared" ca="1" si="9"/>
        <v>825</v>
      </c>
      <c r="R80" s="29">
        <f t="shared" si="10"/>
        <v>17</v>
      </c>
      <c r="S80" s="27" t="str">
        <f t="shared" si="11"/>
        <v>DK-019</v>
      </c>
      <c r="T80" s="27" t="str">
        <f>IF(AND(K80=Lists_Filter!$J$4,G80=Lists_Filter!$J$5),COUNTIFS(K$2:K80,Lists_Filter!$J$4,G$2:G80,Lists_Filter!$J$5),"")</f>
        <v/>
      </c>
    </row>
    <row r="81" spans="1:20" x14ac:dyDescent="0.3">
      <c r="A81" s="27" t="s">
        <v>241</v>
      </c>
      <c r="B81" s="28">
        <v>45501</v>
      </c>
      <c r="C81" s="29" t="s">
        <v>182</v>
      </c>
      <c r="D81" s="29" t="s">
        <v>183</v>
      </c>
      <c r="E81" s="29" t="s">
        <v>140</v>
      </c>
      <c r="F81" s="29" t="s">
        <v>141</v>
      </c>
      <c r="G81" s="29" t="s">
        <v>81</v>
      </c>
      <c r="H81" s="27">
        <v>3</v>
      </c>
      <c r="I81" s="30">
        <v>299.99</v>
      </c>
      <c r="J81" s="29" t="s">
        <v>55</v>
      </c>
      <c r="K81" s="29" t="s">
        <v>56</v>
      </c>
      <c r="L81" s="29" t="s">
        <v>57</v>
      </c>
      <c r="M81" s="28">
        <v>44732</v>
      </c>
      <c r="N81" s="30">
        <f t="shared" si="6"/>
        <v>899.97</v>
      </c>
      <c r="O81" s="28">
        <f t="shared" si="7"/>
        <v>45504</v>
      </c>
      <c r="P81" s="27" t="str">
        <f t="shared" si="8"/>
        <v>Jul 2024</v>
      </c>
      <c r="Q81" s="29">
        <f t="shared" ca="1" si="9"/>
        <v>824</v>
      </c>
      <c r="R81" s="29">
        <f t="shared" si="10"/>
        <v>25</v>
      </c>
      <c r="S81" s="27" t="str">
        <f t="shared" si="11"/>
        <v>DK-019</v>
      </c>
      <c r="T81" s="27" t="str">
        <f>IF(AND(K81=Lists_Filter!$J$4,G81=Lists_Filter!$J$5),COUNTIFS(K$2:K81,Lists_Filter!$J$4,G$2:G81,Lists_Filter!$J$5),"")</f>
        <v/>
      </c>
    </row>
    <row r="82" spans="1:20" x14ac:dyDescent="0.3">
      <c r="A82" s="27" t="s">
        <v>242</v>
      </c>
      <c r="B82" s="28">
        <v>45501</v>
      </c>
      <c r="C82" s="29" t="s">
        <v>121</v>
      </c>
      <c r="D82" s="29" t="s">
        <v>122</v>
      </c>
      <c r="E82" s="29" t="s">
        <v>146</v>
      </c>
      <c r="F82" s="29" t="s">
        <v>147</v>
      </c>
      <c r="G82" s="29" t="s">
        <v>54</v>
      </c>
      <c r="H82" s="27">
        <v>2</v>
      </c>
      <c r="I82" s="30">
        <v>89.99</v>
      </c>
      <c r="J82" s="29" t="s">
        <v>69</v>
      </c>
      <c r="K82" s="29" t="s">
        <v>70</v>
      </c>
      <c r="L82" s="29" t="s">
        <v>57</v>
      </c>
      <c r="M82" s="28">
        <v>44976</v>
      </c>
      <c r="N82" s="30">
        <f t="shared" si="6"/>
        <v>179.98</v>
      </c>
      <c r="O82" s="28">
        <f t="shared" si="7"/>
        <v>45504</v>
      </c>
      <c r="P82" s="27" t="str">
        <f t="shared" si="8"/>
        <v>Jul 2024</v>
      </c>
      <c r="Q82" s="29">
        <f t="shared" ca="1" si="9"/>
        <v>824</v>
      </c>
      <c r="R82" s="29">
        <f t="shared" si="10"/>
        <v>17</v>
      </c>
      <c r="S82" s="27" t="str">
        <f t="shared" si="11"/>
        <v>MC-025</v>
      </c>
      <c r="T82" s="27" t="str">
        <f>IF(AND(K82=Lists_Filter!$J$4,G82=Lists_Filter!$J$5),COUNTIFS(K$2:K82,Lists_Filter!$J$4,G$2:G82,Lists_Filter!$J$5),"")</f>
        <v/>
      </c>
    </row>
    <row r="83" spans="1:20" x14ac:dyDescent="0.3">
      <c r="A83" s="27" t="s">
        <v>243</v>
      </c>
      <c r="B83" s="28">
        <v>45503</v>
      </c>
      <c r="C83" s="29" t="s">
        <v>121</v>
      </c>
      <c r="D83" s="29" t="s">
        <v>122</v>
      </c>
      <c r="E83" s="29" t="s">
        <v>115</v>
      </c>
      <c r="F83" s="29" t="s">
        <v>116</v>
      </c>
      <c r="G83" s="29" t="s">
        <v>54</v>
      </c>
      <c r="H83" s="27">
        <v>2</v>
      </c>
      <c r="I83" s="30">
        <v>699.99</v>
      </c>
      <c r="J83" s="29" t="s">
        <v>61</v>
      </c>
      <c r="K83" s="29" t="s">
        <v>75</v>
      </c>
      <c r="L83" s="29" t="s">
        <v>62</v>
      </c>
      <c r="M83" s="28">
        <v>44999</v>
      </c>
      <c r="N83" s="30">
        <f t="shared" si="6"/>
        <v>1399.98</v>
      </c>
      <c r="O83" s="28">
        <f t="shared" si="7"/>
        <v>45504</v>
      </c>
      <c r="P83" s="27" t="str">
        <f t="shared" si="8"/>
        <v>Jul 2024</v>
      </c>
      <c r="Q83" s="29">
        <f t="shared" ca="1" si="9"/>
        <v>822</v>
      </c>
      <c r="R83" s="29">
        <f t="shared" si="10"/>
        <v>16</v>
      </c>
      <c r="S83" s="27" t="str">
        <f t="shared" si="11"/>
        <v>MC-025</v>
      </c>
      <c r="T83" s="29">
        <f>IF(AND(K83=Lists_Filter!$J$4,G83=Lists_Filter!$J$5),COUNTIFS(K$2:K83,Lists_Filter!$J$4,G$2:G83,Lists_Filter!$J$5),"")</f>
        <v>9</v>
      </c>
    </row>
    <row r="84" spans="1:20" x14ac:dyDescent="0.3">
      <c r="A84" s="27" t="s">
        <v>244</v>
      </c>
      <c r="B84" s="28">
        <v>45504</v>
      </c>
      <c r="C84" s="29" t="s">
        <v>155</v>
      </c>
      <c r="D84" s="29" t="s">
        <v>156</v>
      </c>
      <c r="E84" s="29" t="s">
        <v>96</v>
      </c>
      <c r="F84" s="29" t="s">
        <v>97</v>
      </c>
      <c r="G84" s="29" t="s">
        <v>54</v>
      </c>
      <c r="H84" s="27">
        <v>4</v>
      </c>
      <c r="I84" s="30">
        <v>899.99</v>
      </c>
      <c r="J84" s="29" t="s">
        <v>92</v>
      </c>
      <c r="K84" s="29" t="s">
        <v>70</v>
      </c>
      <c r="L84" s="29" t="s">
        <v>71</v>
      </c>
      <c r="M84" s="28">
        <v>44523</v>
      </c>
      <c r="N84" s="30">
        <f t="shared" si="6"/>
        <v>3599.96</v>
      </c>
      <c r="O84" s="28">
        <f t="shared" si="7"/>
        <v>45504</v>
      </c>
      <c r="P84" s="27" t="str">
        <f t="shared" si="8"/>
        <v>Jul 2024</v>
      </c>
      <c r="Q84" s="29">
        <f t="shared" ca="1" si="9"/>
        <v>821</v>
      </c>
      <c r="R84" s="29">
        <f t="shared" si="10"/>
        <v>32</v>
      </c>
      <c r="S84" s="27" t="str">
        <f t="shared" si="11"/>
        <v>HR-030</v>
      </c>
      <c r="T84" s="27" t="str">
        <f>IF(AND(K84=Lists_Filter!$J$4,G84=Lists_Filter!$J$5),COUNTIFS(K$2:K84,Lists_Filter!$J$4,G$2:G84,Lists_Filter!$J$5),"")</f>
        <v/>
      </c>
    </row>
    <row r="85" spans="1:20" x14ac:dyDescent="0.3">
      <c r="A85" s="27" t="s">
        <v>245</v>
      </c>
      <c r="B85" s="28">
        <v>45509</v>
      </c>
      <c r="C85" s="29" t="s">
        <v>246</v>
      </c>
      <c r="D85" s="29" t="s">
        <v>247</v>
      </c>
      <c r="E85" s="29" t="s">
        <v>79</v>
      </c>
      <c r="F85" s="29" t="s">
        <v>80</v>
      </c>
      <c r="G85" s="29" t="s">
        <v>81</v>
      </c>
      <c r="H85" s="27">
        <v>2</v>
      </c>
      <c r="I85" s="30">
        <v>149.99</v>
      </c>
      <c r="J85" s="29" t="s">
        <v>61</v>
      </c>
      <c r="K85" s="29" t="s">
        <v>85</v>
      </c>
      <c r="L85" s="29" t="s">
        <v>57</v>
      </c>
      <c r="M85" s="28">
        <v>44542</v>
      </c>
      <c r="N85" s="30">
        <f t="shared" si="6"/>
        <v>299.98</v>
      </c>
      <c r="O85" s="28">
        <f t="shared" si="7"/>
        <v>45535</v>
      </c>
      <c r="P85" s="27" t="str">
        <f t="shared" si="8"/>
        <v>Aug 2024</v>
      </c>
      <c r="Q85" s="29">
        <f t="shared" ca="1" si="9"/>
        <v>816</v>
      </c>
      <c r="R85" s="29">
        <f t="shared" si="10"/>
        <v>31</v>
      </c>
      <c r="S85" s="27" t="str">
        <f t="shared" si="11"/>
        <v>EH-016</v>
      </c>
      <c r="T85" s="27" t="str">
        <f>IF(AND(K85=Lists_Filter!$J$4,G85=Lists_Filter!$J$5),COUNTIFS(K$2:K85,Lists_Filter!$J$4,G$2:G85,Lists_Filter!$J$5),"")</f>
        <v/>
      </c>
    </row>
    <row r="86" spans="1:20" x14ac:dyDescent="0.3">
      <c r="A86" s="27" t="s">
        <v>248</v>
      </c>
      <c r="B86" s="28">
        <v>45510</v>
      </c>
      <c r="C86" s="29" t="s">
        <v>137</v>
      </c>
      <c r="D86" s="29" t="s">
        <v>138</v>
      </c>
      <c r="E86" s="29" t="s">
        <v>79</v>
      </c>
      <c r="F86" s="29" t="s">
        <v>80</v>
      </c>
      <c r="G86" s="29" t="s">
        <v>81</v>
      </c>
      <c r="H86" s="27">
        <v>2</v>
      </c>
      <c r="I86" s="30">
        <v>149.99</v>
      </c>
      <c r="J86" s="29" t="s">
        <v>92</v>
      </c>
      <c r="K86" s="29" t="s">
        <v>98</v>
      </c>
      <c r="L86" s="29" t="s">
        <v>71</v>
      </c>
      <c r="M86" s="28">
        <v>44667</v>
      </c>
      <c r="N86" s="30">
        <f t="shared" si="6"/>
        <v>299.98</v>
      </c>
      <c r="O86" s="28">
        <f t="shared" si="7"/>
        <v>45535</v>
      </c>
      <c r="P86" s="27" t="str">
        <f t="shared" si="8"/>
        <v>Aug 2024</v>
      </c>
      <c r="Q86" s="29">
        <f t="shared" ca="1" si="9"/>
        <v>815</v>
      </c>
      <c r="R86" s="29">
        <f t="shared" si="10"/>
        <v>27</v>
      </c>
      <c r="S86" s="27" t="str">
        <f t="shared" si="11"/>
        <v>CP-044</v>
      </c>
      <c r="T86" s="27" t="str">
        <f>IF(AND(K86=Lists_Filter!$J$4,G86=Lists_Filter!$J$5),COUNTIFS(K$2:K86,Lists_Filter!$J$4,G$2:G86,Lists_Filter!$J$5),"")</f>
        <v/>
      </c>
    </row>
    <row r="87" spans="1:20" x14ac:dyDescent="0.3">
      <c r="A87" s="27" t="s">
        <v>249</v>
      </c>
      <c r="B87" s="28">
        <v>45513</v>
      </c>
      <c r="C87" s="29" t="s">
        <v>125</v>
      </c>
      <c r="D87" s="29" t="s">
        <v>126</v>
      </c>
      <c r="E87" s="29" t="s">
        <v>146</v>
      </c>
      <c r="F87" s="29" t="s">
        <v>147</v>
      </c>
      <c r="G87" s="29" t="s">
        <v>54</v>
      </c>
      <c r="H87" s="27">
        <v>1</v>
      </c>
      <c r="I87" s="30">
        <v>89.99</v>
      </c>
      <c r="J87" s="29" t="s">
        <v>61</v>
      </c>
      <c r="K87" s="29" t="s">
        <v>75</v>
      </c>
      <c r="L87" s="29" t="s">
        <v>71</v>
      </c>
      <c r="M87" s="28">
        <v>45393</v>
      </c>
      <c r="N87" s="30">
        <f t="shared" si="6"/>
        <v>89.99</v>
      </c>
      <c r="O87" s="28">
        <f t="shared" si="7"/>
        <v>45535</v>
      </c>
      <c r="P87" s="27" t="str">
        <f t="shared" si="8"/>
        <v>Aug 2024</v>
      </c>
      <c r="Q87" s="29">
        <f t="shared" ca="1" si="9"/>
        <v>812</v>
      </c>
      <c r="R87" s="29">
        <f t="shared" si="10"/>
        <v>3</v>
      </c>
      <c r="S87" s="27" t="str">
        <f t="shared" si="11"/>
        <v>MG-010</v>
      </c>
      <c r="T87" s="29">
        <f>IF(AND(K87=Lists_Filter!$J$4,G87=Lists_Filter!$J$5),COUNTIFS(K$2:K87,Lists_Filter!$J$4,G$2:G87,Lists_Filter!$J$5),"")</f>
        <v>10</v>
      </c>
    </row>
    <row r="88" spans="1:20" x14ac:dyDescent="0.3">
      <c r="A88" s="27" t="s">
        <v>250</v>
      </c>
      <c r="B88" s="28">
        <v>45515</v>
      </c>
      <c r="C88" s="29" t="s">
        <v>121</v>
      </c>
      <c r="D88" s="29" t="s">
        <v>122</v>
      </c>
      <c r="E88" s="29" t="s">
        <v>140</v>
      </c>
      <c r="F88" s="29" t="s">
        <v>141</v>
      </c>
      <c r="G88" s="29" t="s">
        <v>81</v>
      </c>
      <c r="H88" s="27">
        <v>5</v>
      </c>
      <c r="I88" s="30">
        <v>299.99</v>
      </c>
      <c r="J88" s="29" t="s">
        <v>61</v>
      </c>
      <c r="K88" s="29" t="s">
        <v>75</v>
      </c>
      <c r="L88" s="29" t="s">
        <v>57</v>
      </c>
      <c r="M88" s="28">
        <v>44965</v>
      </c>
      <c r="N88" s="30">
        <f t="shared" si="6"/>
        <v>1499.95</v>
      </c>
      <c r="O88" s="28">
        <f t="shared" si="7"/>
        <v>45535</v>
      </c>
      <c r="P88" s="27" t="str">
        <f t="shared" si="8"/>
        <v>Aug 2024</v>
      </c>
      <c r="Q88" s="29">
        <f t="shared" ca="1" si="9"/>
        <v>810</v>
      </c>
      <c r="R88" s="29">
        <f t="shared" si="10"/>
        <v>18</v>
      </c>
      <c r="S88" s="27" t="str">
        <f t="shared" si="11"/>
        <v>MC-025</v>
      </c>
      <c r="T88" s="27" t="str">
        <f>IF(AND(K88=Lists_Filter!$J$4,G88=Lists_Filter!$J$5),COUNTIFS(K$2:K88,Lists_Filter!$J$4,G$2:G88,Lists_Filter!$J$5),"")</f>
        <v/>
      </c>
    </row>
    <row r="89" spans="1:20" x14ac:dyDescent="0.3">
      <c r="A89" s="27" t="s">
        <v>251</v>
      </c>
      <c r="B89" s="28">
        <v>45517</v>
      </c>
      <c r="C89" s="29" t="s">
        <v>217</v>
      </c>
      <c r="D89" s="29" t="s">
        <v>218</v>
      </c>
      <c r="E89" s="29" t="s">
        <v>87</v>
      </c>
      <c r="F89" s="29" t="s">
        <v>88</v>
      </c>
      <c r="G89" s="29" t="s">
        <v>54</v>
      </c>
      <c r="H89" s="27">
        <v>4</v>
      </c>
      <c r="I89" s="30">
        <v>149.99</v>
      </c>
      <c r="J89" s="29" t="s">
        <v>92</v>
      </c>
      <c r="K89" s="29" t="s">
        <v>70</v>
      </c>
      <c r="L89" s="29" t="s">
        <v>62</v>
      </c>
      <c r="M89" s="28">
        <v>44820</v>
      </c>
      <c r="N89" s="30">
        <f t="shared" si="6"/>
        <v>599.96</v>
      </c>
      <c r="O89" s="28">
        <f t="shared" si="7"/>
        <v>45535</v>
      </c>
      <c r="P89" s="27" t="str">
        <f t="shared" si="8"/>
        <v>Aug 2024</v>
      </c>
      <c r="Q89" s="29">
        <f t="shared" ca="1" si="9"/>
        <v>808</v>
      </c>
      <c r="R89" s="29">
        <f t="shared" si="10"/>
        <v>22</v>
      </c>
      <c r="S89" s="27" t="str">
        <f t="shared" si="11"/>
        <v>DM-007</v>
      </c>
      <c r="T89" s="27" t="str">
        <f>IF(AND(K89=Lists_Filter!$J$4,G89=Lists_Filter!$J$5),COUNTIFS(K$2:K89,Lists_Filter!$J$4,G$2:G89,Lists_Filter!$J$5),"")</f>
        <v/>
      </c>
    </row>
    <row r="90" spans="1:20" x14ac:dyDescent="0.3">
      <c r="A90" s="27" t="s">
        <v>252</v>
      </c>
      <c r="B90" s="28">
        <v>45517</v>
      </c>
      <c r="C90" s="29" t="s">
        <v>220</v>
      </c>
      <c r="D90" s="29" t="s">
        <v>221</v>
      </c>
      <c r="E90" s="29" t="s">
        <v>52</v>
      </c>
      <c r="F90" s="29" t="s">
        <v>53</v>
      </c>
      <c r="G90" s="29" t="s">
        <v>54</v>
      </c>
      <c r="H90" s="27">
        <v>5</v>
      </c>
      <c r="I90" s="30">
        <v>249.99</v>
      </c>
      <c r="J90" s="29" t="s">
        <v>69</v>
      </c>
      <c r="K90" s="29" t="s">
        <v>98</v>
      </c>
      <c r="L90" s="29" t="s">
        <v>62</v>
      </c>
      <c r="M90" s="28">
        <v>44782</v>
      </c>
      <c r="N90" s="30">
        <f t="shared" si="6"/>
        <v>1249.95</v>
      </c>
      <c r="O90" s="28">
        <f t="shared" si="7"/>
        <v>45535</v>
      </c>
      <c r="P90" s="27" t="str">
        <f t="shared" si="8"/>
        <v>Aug 2024</v>
      </c>
      <c r="Q90" s="29">
        <f t="shared" ca="1" si="9"/>
        <v>808</v>
      </c>
      <c r="R90" s="29">
        <f t="shared" si="10"/>
        <v>24</v>
      </c>
      <c r="S90" s="27" t="str">
        <f t="shared" si="11"/>
        <v>MW-020</v>
      </c>
      <c r="T90" s="27" t="str">
        <f>IF(AND(K90=Lists_Filter!$J$4,G90=Lists_Filter!$J$5),COUNTIFS(K$2:K90,Lists_Filter!$J$4,G$2:G90,Lists_Filter!$J$5),"")</f>
        <v/>
      </c>
    </row>
    <row r="91" spans="1:20" x14ac:dyDescent="0.3">
      <c r="A91" s="27" t="s">
        <v>253</v>
      </c>
      <c r="B91" s="28">
        <v>45517</v>
      </c>
      <c r="C91" s="29" t="s">
        <v>103</v>
      </c>
      <c r="D91" s="29" t="s">
        <v>104</v>
      </c>
      <c r="E91" s="29" t="s">
        <v>52</v>
      </c>
      <c r="F91" s="29" t="s">
        <v>53</v>
      </c>
      <c r="G91" s="29" t="s">
        <v>54</v>
      </c>
      <c r="H91" s="27">
        <v>3</v>
      </c>
      <c r="I91" s="30">
        <v>249.99</v>
      </c>
      <c r="J91" s="29" t="s">
        <v>69</v>
      </c>
      <c r="K91" s="29" t="s">
        <v>75</v>
      </c>
      <c r="L91" s="29" t="s">
        <v>62</v>
      </c>
      <c r="M91" s="28">
        <v>44465</v>
      </c>
      <c r="N91" s="30">
        <f t="shared" si="6"/>
        <v>749.97</v>
      </c>
      <c r="O91" s="28">
        <f t="shared" si="7"/>
        <v>45535</v>
      </c>
      <c r="P91" s="27" t="str">
        <f t="shared" si="8"/>
        <v>Aug 2024</v>
      </c>
      <c r="Q91" s="29">
        <f t="shared" ca="1" si="9"/>
        <v>808</v>
      </c>
      <c r="R91" s="29">
        <f t="shared" si="10"/>
        <v>34</v>
      </c>
      <c r="S91" s="27" t="str">
        <f t="shared" si="11"/>
        <v>KH-026</v>
      </c>
      <c r="T91" s="29">
        <f>IF(AND(K91=Lists_Filter!$J$4,G91=Lists_Filter!$J$5),COUNTIFS(K$2:K91,Lists_Filter!$J$4,G$2:G91,Lists_Filter!$J$5),"")</f>
        <v>11</v>
      </c>
    </row>
    <row r="92" spans="1:20" x14ac:dyDescent="0.3">
      <c r="A92" s="27" t="s">
        <v>254</v>
      </c>
      <c r="B92" s="28">
        <v>45517</v>
      </c>
      <c r="C92" s="29" t="s">
        <v>73</v>
      </c>
      <c r="D92" s="29" t="s">
        <v>74</v>
      </c>
      <c r="E92" s="29" t="s">
        <v>158</v>
      </c>
      <c r="F92" s="29" t="s">
        <v>159</v>
      </c>
      <c r="G92" s="29" t="s">
        <v>81</v>
      </c>
      <c r="H92" s="27">
        <v>4</v>
      </c>
      <c r="I92" s="30">
        <v>199.99</v>
      </c>
      <c r="J92" s="29" t="s">
        <v>55</v>
      </c>
      <c r="K92" s="29" t="s">
        <v>75</v>
      </c>
      <c r="L92" s="29" t="s">
        <v>71</v>
      </c>
      <c r="M92" s="28">
        <v>44458</v>
      </c>
      <c r="N92" s="30">
        <f t="shared" si="6"/>
        <v>799.96</v>
      </c>
      <c r="O92" s="28">
        <f t="shared" si="7"/>
        <v>45535</v>
      </c>
      <c r="P92" s="27" t="str">
        <f t="shared" si="8"/>
        <v>Aug 2024</v>
      </c>
      <c r="Q92" s="29">
        <f t="shared" ca="1" si="9"/>
        <v>808</v>
      </c>
      <c r="R92" s="29">
        <f t="shared" si="10"/>
        <v>34</v>
      </c>
      <c r="S92" s="27" t="str">
        <f t="shared" si="11"/>
        <v>KB-046</v>
      </c>
      <c r="T92" s="27" t="str">
        <f>IF(AND(K92=Lists_Filter!$J$4,G92=Lists_Filter!$J$5),COUNTIFS(K$2:K92,Lists_Filter!$J$4,G$2:G92,Lists_Filter!$J$5),"")</f>
        <v/>
      </c>
    </row>
    <row r="93" spans="1:20" x14ac:dyDescent="0.3">
      <c r="A93" s="27" t="s">
        <v>255</v>
      </c>
      <c r="B93" s="28">
        <v>45519</v>
      </c>
      <c r="C93" s="29" t="s">
        <v>192</v>
      </c>
      <c r="D93" s="29" t="s">
        <v>193</v>
      </c>
      <c r="E93" s="29" t="s">
        <v>158</v>
      </c>
      <c r="F93" s="29" t="s">
        <v>159</v>
      </c>
      <c r="G93" s="29" t="s">
        <v>81</v>
      </c>
      <c r="H93" s="27">
        <v>5</v>
      </c>
      <c r="I93" s="30">
        <v>199.99</v>
      </c>
      <c r="J93" s="29" t="s">
        <v>55</v>
      </c>
      <c r="K93" s="29" t="s">
        <v>75</v>
      </c>
      <c r="L93" s="29" t="s">
        <v>62</v>
      </c>
      <c r="M93" s="28">
        <v>44991</v>
      </c>
      <c r="N93" s="30">
        <f t="shared" si="6"/>
        <v>999.95</v>
      </c>
      <c r="O93" s="28">
        <f t="shared" si="7"/>
        <v>45535</v>
      </c>
      <c r="P93" s="27" t="str">
        <f t="shared" si="8"/>
        <v>Aug 2024</v>
      </c>
      <c r="Q93" s="29">
        <f t="shared" ca="1" si="9"/>
        <v>806</v>
      </c>
      <c r="R93" s="29">
        <f t="shared" si="10"/>
        <v>17</v>
      </c>
      <c r="S93" s="27" t="str">
        <f t="shared" si="11"/>
        <v>BC-028</v>
      </c>
      <c r="T93" s="27" t="str">
        <f>IF(AND(K93=Lists_Filter!$J$4,G93=Lists_Filter!$J$5),COUNTIFS(K$2:K93,Lists_Filter!$J$4,G$2:G93,Lists_Filter!$J$5),"")</f>
        <v/>
      </c>
    </row>
    <row r="94" spans="1:20" x14ac:dyDescent="0.3">
      <c r="A94" s="27" t="s">
        <v>256</v>
      </c>
      <c r="B94" s="28">
        <v>45522</v>
      </c>
      <c r="C94" s="29" t="s">
        <v>121</v>
      </c>
      <c r="D94" s="29" t="s">
        <v>122</v>
      </c>
      <c r="E94" s="29" t="s">
        <v>146</v>
      </c>
      <c r="F94" s="29" t="s">
        <v>147</v>
      </c>
      <c r="G94" s="29" t="s">
        <v>54</v>
      </c>
      <c r="H94" s="27">
        <v>2</v>
      </c>
      <c r="I94" s="30">
        <v>89.99</v>
      </c>
      <c r="J94" s="29" t="s">
        <v>55</v>
      </c>
      <c r="K94" s="29" t="s">
        <v>98</v>
      </c>
      <c r="L94" s="29" t="s">
        <v>62</v>
      </c>
      <c r="M94" s="28">
        <v>44972</v>
      </c>
      <c r="N94" s="30">
        <f t="shared" si="6"/>
        <v>179.98</v>
      </c>
      <c r="O94" s="28">
        <f t="shared" si="7"/>
        <v>45535</v>
      </c>
      <c r="P94" s="27" t="str">
        <f t="shared" si="8"/>
        <v>Aug 2024</v>
      </c>
      <c r="Q94" s="29">
        <f t="shared" ca="1" si="9"/>
        <v>803</v>
      </c>
      <c r="R94" s="29">
        <f t="shared" si="10"/>
        <v>18</v>
      </c>
      <c r="S94" s="27" t="str">
        <f t="shared" si="11"/>
        <v>MC-025</v>
      </c>
      <c r="T94" s="27" t="str">
        <f>IF(AND(K94=Lists_Filter!$J$4,G94=Lists_Filter!$J$5),COUNTIFS(K$2:K94,Lists_Filter!$J$4,G$2:G94,Lists_Filter!$J$5),"")</f>
        <v/>
      </c>
    </row>
    <row r="95" spans="1:20" x14ac:dyDescent="0.3">
      <c r="A95" s="27" t="s">
        <v>257</v>
      </c>
      <c r="B95" s="28">
        <v>45523</v>
      </c>
      <c r="C95" s="29" t="s">
        <v>143</v>
      </c>
      <c r="D95" s="29" t="s">
        <v>144</v>
      </c>
      <c r="E95" s="29" t="s">
        <v>87</v>
      </c>
      <c r="F95" s="29" t="s">
        <v>88</v>
      </c>
      <c r="G95" s="29" t="s">
        <v>54</v>
      </c>
      <c r="H95" s="27">
        <v>3</v>
      </c>
      <c r="I95" s="30">
        <v>149.99</v>
      </c>
      <c r="J95" s="29" t="s">
        <v>69</v>
      </c>
      <c r="K95" s="29" t="s">
        <v>98</v>
      </c>
      <c r="L95" s="29" t="s">
        <v>57</v>
      </c>
      <c r="M95" s="28">
        <v>44574</v>
      </c>
      <c r="N95" s="30">
        <f t="shared" si="6"/>
        <v>449.97</v>
      </c>
      <c r="O95" s="28">
        <f t="shared" si="7"/>
        <v>45535</v>
      </c>
      <c r="P95" s="27" t="str">
        <f t="shared" si="8"/>
        <v>Aug 2024</v>
      </c>
      <c r="Q95" s="29">
        <f t="shared" ca="1" si="9"/>
        <v>802</v>
      </c>
      <c r="R95" s="29">
        <f t="shared" si="10"/>
        <v>31</v>
      </c>
      <c r="S95" s="27" t="str">
        <f t="shared" si="11"/>
        <v>NC-036</v>
      </c>
      <c r="T95" s="27" t="str">
        <f>IF(AND(K95=Lists_Filter!$J$4,G95=Lists_Filter!$J$5),COUNTIFS(K$2:K95,Lists_Filter!$J$4,G$2:G95,Lists_Filter!$J$5),"")</f>
        <v/>
      </c>
    </row>
    <row r="96" spans="1:20" x14ac:dyDescent="0.3">
      <c r="A96" s="27" t="s">
        <v>258</v>
      </c>
      <c r="B96" s="28">
        <v>45523</v>
      </c>
      <c r="C96" s="29" t="s">
        <v>231</v>
      </c>
      <c r="D96" s="29" t="s">
        <v>232</v>
      </c>
      <c r="E96" s="29" t="s">
        <v>96</v>
      </c>
      <c r="F96" s="29" t="s">
        <v>97</v>
      </c>
      <c r="G96" s="29" t="s">
        <v>54</v>
      </c>
      <c r="H96" s="27">
        <v>5</v>
      </c>
      <c r="I96" s="30">
        <v>899.99</v>
      </c>
      <c r="J96" s="29" t="s">
        <v>92</v>
      </c>
      <c r="K96" s="29" t="s">
        <v>98</v>
      </c>
      <c r="L96" s="29" t="s">
        <v>57</v>
      </c>
      <c r="M96" s="28">
        <v>44526</v>
      </c>
      <c r="N96" s="30">
        <f t="shared" si="6"/>
        <v>4499.95</v>
      </c>
      <c r="O96" s="28">
        <f t="shared" si="7"/>
        <v>45535</v>
      </c>
      <c r="P96" s="27" t="str">
        <f t="shared" si="8"/>
        <v>Aug 2024</v>
      </c>
      <c r="Q96" s="29">
        <f t="shared" ca="1" si="9"/>
        <v>802</v>
      </c>
      <c r="R96" s="29">
        <f t="shared" si="10"/>
        <v>32</v>
      </c>
      <c r="S96" s="27" t="str">
        <f t="shared" si="11"/>
        <v>GM-047</v>
      </c>
      <c r="T96" s="27" t="str">
        <f>IF(AND(K96=Lists_Filter!$J$4,G96=Lists_Filter!$J$5),COUNTIFS(K$2:K96,Lists_Filter!$J$4,G$2:G96,Lists_Filter!$J$5),"")</f>
        <v/>
      </c>
    </row>
    <row r="97" spans="1:20" x14ac:dyDescent="0.3">
      <c r="A97" s="27" t="s">
        <v>259</v>
      </c>
      <c r="B97" s="28">
        <v>45526</v>
      </c>
      <c r="C97" s="29" t="s">
        <v>137</v>
      </c>
      <c r="D97" s="29" t="s">
        <v>138</v>
      </c>
      <c r="E97" s="29" t="s">
        <v>79</v>
      </c>
      <c r="F97" s="29" t="s">
        <v>80</v>
      </c>
      <c r="G97" s="29" t="s">
        <v>81</v>
      </c>
      <c r="H97" s="27">
        <v>5</v>
      </c>
      <c r="I97" s="30">
        <v>149.99</v>
      </c>
      <c r="J97" s="29" t="s">
        <v>61</v>
      </c>
      <c r="K97" s="29" t="s">
        <v>56</v>
      </c>
      <c r="L97" s="29" t="s">
        <v>57</v>
      </c>
      <c r="M97" s="28">
        <v>45310</v>
      </c>
      <c r="N97" s="30">
        <f t="shared" si="6"/>
        <v>749.95</v>
      </c>
      <c r="O97" s="28">
        <f t="shared" si="7"/>
        <v>45535</v>
      </c>
      <c r="P97" s="27" t="str">
        <f t="shared" si="8"/>
        <v>Aug 2024</v>
      </c>
      <c r="Q97" s="29">
        <f t="shared" ca="1" si="9"/>
        <v>799</v>
      </c>
      <c r="R97" s="29">
        <f t="shared" si="10"/>
        <v>7</v>
      </c>
      <c r="S97" s="27" t="str">
        <f t="shared" si="11"/>
        <v>CP-044</v>
      </c>
      <c r="T97" s="27" t="str">
        <f>IF(AND(K97=Lists_Filter!$J$4,G97=Lists_Filter!$J$5),COUNTIFS(K$2:K97,Lists_Filter!$J$4,G$2:G97,Lists_Filter!$J$5),"")</f>
        <v/>
      </c>
    </row>
    <row r="98" spans="1:20" x14ac:dyDescent="0.3">
      <c r="A98" s="27" t="s">
        <v>260</v>
      </c>
      <c r="B98" s="28">
        <v>45528</v>
      </c>
      <c r="C98" s="29" t="s">
        <v>261</v>
      </c>
      <c r="D98" s="29" t="s">
        <v>262</v>
      </c>
      <c r="E98" s="29" t="s">
        <v>152</v>
      </c>
      <c r="F98" s="29" t="s">
        <v>153</v>
      </c>
      <c r="G98" s="29" t="s">
        <v>68</v>
      </c>
      <c r="H98" s="27">
        <v>3</v>
      </c>
      <c r="I98" s="30">
        <v>79.989999999999995</v>
      </c>
      <c r="J98" s="29" t="s">
        <v>55</v>
      </c>
      <c r="K98" s="29" t="s">
        <v>56</v>
      </c>
      <c r="L98" s="29" t="s">
        <v>62</v>
      </c>
      <c r="M98" s="28">
        <v>44779</v>
      </c>
      <c r="N98" s="30">
        <f t="shared" si="6"/>
        <v>239.96999999999997</v>
      </c>
      <c r="O98" s="28">
        <f t="shared" si="7"/>
        <v>45535</v>
      </c>
      <c r="P98" s="27" t="str">
        <f t="shared" si="8"/>
        <v>Aug 2024</v>
      </c>
      <c r="Q98" s="29">
        <f t="shared" ca="1" si="9"/>
        <v>797</v>
      </c>
      <c r="R98" s="29">
        <f t="shared" si="10"/>
        <v>24</v>
      </c>
      <c r="S98" s="27" t="str">
        <f t="shared" si="11"/>
        <v>LR-039</v>
      </c>
      <c r="T98" s="27" t="str">
        <f>IF(AND(K98=Lists_Filter!$J$4,G98=Lists_Filter!$J$5),COUNTIFS(K$2:K98,Lists_Filter!$J$4,G$2:G98,Lists_Filter!$J$5),"")</f>
        <v/>
      </c>
    </row>
    <row r="99" spans="1:20" x14ac:dyDescent="0.3">
      <c r="A99" s="27" t="s">
        <v>263</v>
      </c>
      <c r="B99" s="28">
        <v>45528</v>
      </c>
      <c r="C99" s="29" t="s">
        <v>179</v>
      </c>
      <c r="D99" s="29" t="s">
        <v>180</v>
      </c>
      <c r="E99" s="29" t="s">
        <v>52</v>
      </c>
      <c r="F99" s="29" t="s">
        <v>53</v>
      </c>
      <c r="G99" s="29" t="s">
        <v>54</v>
      </c>
      <c r="H99" s="27">
        <v>2</v>
      </c>
      <c r="I99" s="30">
        <v>249.99</v>
      </c>
      <c r="J99" s="29" t="s">
        <v>55</v>
      </c>
      <c r="K99" s="29" t="s">
        <v>70</v>
      </c>
      <c r="L99" s="29" t="s">
        <v>71</v>
      </c>
      <c r="M99" s="28">
        <v>44572</v>
      </c>
      <c r="N99" s="30">
        <f t="shared" si="6"/>
        <v>499.98</v>
      </c>
      <c r="O99" s="28">
        <f t="shared" si="7"/>
        <v>45535</v>
      </c>
      <c r="P99" s="27" t="str">
        <f t="shared" si="8"/>
        <v>Aug 2024</v>
      </c>
      <c r="Q99" s="29">
        <f t="shared" ca="1" si="9"/>
        <v>797</v>
      </c>
      <c r="R99" s="29">
        <f t="shared" si="10"/>
        <v>31</v>
      </c>
      <c r="S99" s="27" t="str">
        <f t="shared" si="11"/>
        <v>HM-035</v>
      </c>
      <c r="T99" s="27" t="str">
        <f>IF(AND(K99=Lists_Filter!$J$4,G99=Lists_Filter!$J$5),COUNTIFS(K$2:K99,Lists_Filter!$J$4,G$2:G99,Lists_Filter!$J$5),"")</f>
        <v/>
      </c>
    </row>
    <row r="100" spans="1:20" x14ac:dyDescent="0.3">
      <c r="A100" s="27" t="s">
        <v>264</v>
      </c>
      <c r="B100" s="28">
        <v>45532</v>
      </c>
      <c r="C100" s="29" t="s">
        <v>231</v>
      </c>
      <c r="D100" s="29" t="s">
        <v>232</v>
      </c>
      <c r="E100" s="29" t="s">
        <v>115</v>
      </c>
      <c r="F100" s="29" t="s">
        <v>116</v>
      </c>
      <c r="G100" s="29" t="s">
        <v>54</v>
      </c>
      <c r="H100" s="27">
        <v>1</v>
      </c>
      <c r="I100" s="30">
        <v>699.99</v>
      </c>
      <c r="J100" s="29" t="s">
        <v>55</v>
      </c>
      <c r="K100" s="29" t="s">
        <v>56</v>
      </c>
      <c r="L100" s="29" t="s">
        <v>62</v>
      </c>
      <c r="M100" s="28">
        <v>44497</v>
      </c>
      <c r="N100" s="30">
        <f t="shared" si="6"/>
        <v>699.99</v>
      </c>
      <c r="O100" s="28">
        <f t="shared" si="7"/>
        <v>45535</v>
      </c>
      <c r="P100" s="27" t="str">
        <f t="shared" si="8"/>
        <v>Aug 2024</v>
      </c>
      <c r="Q100" s="29">
        <f t="shared" ca="1" si="9"/>
        <v>793</v>
      </c>
      <c r="R100" s="29">
        <f t="shared" si="10"/>
        <v>34</v>
      </c>
      <c r="S100" s="27" t="str">
        <f t="shared" si="11"/>
        <v>GM-047</v>
      </c>
      <c r="T100" s="27" t="str">
        <f>IF(AND(K100=Lists_Filter!$J$4,G100=Lists_Filter!$J$5),COUNTIFS(K$2:K100,Lists_Filter!$J$4,G$2:G100,Lists_Filter!$J$5),"")</f>
        <v/>
      </c>
    </row>
    <row r="101" spans="1:20" x14ac:dyDescent="0.3">
      <c r="A101" s="27" t="s">
        <v>265</v>
      </c>
      <c r="B101" s="28">
        <v>45532</v>
      </c>
      <c r="C101" s="29" t="s">
        <v>266</v>
      </c>
      <c r="D101" s="29" t="s">
        <v>267</v>
      </c>
      <c r="E101" s="29" t="s">
        <v>87</v>
      </c>
      <c r="F101" s="29" t="s">
        <v>88</v>
      </c>
      <c r="G101" s="29" t="s">
        <v>54</v>
      </c>
      <c r="H101" s="27">
        <v>3</v>
      </c>
      <c r="I101" s="30">
        <v>149.99</v>
      </c>
      <c r="J101" s="29" t="s">
        <v>55</v>
      </c>
      <c r="K101" s="29" t="s">
        <v>85</v>
      </c>
      <c r="L101" s="29" t="s">
        <v>62</v>
      </c>
      <c r="M101" s="28">
        <v>45212</v>
      </c>
      <c r="N101" s="30">
        <f t="shared" si="6"/>
        <v>449.97</v>
      </c>
      <c r="O101" s="28">
        <f t="shared" si="7"/>
        <v>45535</v>
      </c>
      <c r="P101" s="27" t="str">
        <f t="shared" si="8"/>
        <v>Aug 2024</v>
      </c>
      <c r="Q101" s="29">
        <f t="shared" ca="1" si="9"/>
        <v>793</v>
      </c>
      <c r="R101" s="29">
        <f t="shared" si="10"/>
        <v>10</v>
      </c>
      <c r="S101" s="27" t="str">
        <f t="shared" si="11"/>
        <v>CE-034</v>
      </c>
      <c r="T101" s="27" t="str">
        <f>IF(AND(K101=Lists_Filter!$J$4,G101=Lists_Filter!$J$5),COUNTIFS(K$2:K101,Lists_Filter!$J$4,G$2:G101,Lists_Filter!$J$5),"")</f>
        <v/>
      </c>
    </row>
    <row r="102" spans="1:20" x14ac:dyDescent="0.3">
      <c r="A102" s="27" t="s">
        <v>268</v>
      </c>
      <c r="B102" s="28">
        <v>45534</v>
      </c>
      <c r="C102" s="29" t="s">
        <v>269</v>
      </c>
      <c r="D102" s="29" t="s">
        <v>270</v>
      </c>
      <c r="E102" s="29" t="s">
        <v>115</v>
      </c>
      <c r="F102" s="29" t="s">
        <v>116</v>
      </c>
      <c r="G102" s="29" t="s">
        <v>54</v>
      </c>
      <c r="H102" s="27">
        <v>2</v>
      </c>
      <c r="I102" s="30">
        <v>699.99</v>
      </c>
      <c r="J102" s="29" t="s">
        <v>61</v>
      </c>
      <c r="K102" s="29" t="s">
        <v>75</v>
      </c>
      <c r="L102" s="29" t="s">
        <v>62</v>
      </c>
      <c r="M102" s="28">
        <v>44421</v>
      </c>
      <c r="N102" s="30">
        <f t="shared" si="6"/>
        <v>1399.98</v>
      </c>
      <c r="O102" s="28">
        <f t="shared" si="7"/>
        <v>45535</v>
      </c>
      <c r="P102" s="27" t="str">
        <f t="shared" si="8"/>
        <v>Aug 2024</v>
      </c>
      <c r="Q102" s="29">
        <f t="shared" ca="1" si="9"/>
        <v>791</v>
      </c>
      <c r="R102" s="29">
        <f t="shared" si="10"/>
        <v>36</v>
      </c>
      <c r="S102" s="27" t="str">
        <f t="shared" si="11"/>
        <v>SP-032</v>
      </c>
      <c r="T102" s="29">
        <f>IF(AND(K102=Lists_Filter!$J$4,G102=Lists_Filter!$J$5),COUNTIFS(K$2:K102,Lists_Filter!$J$4,G$2:G102,Lists_Filter!$J$5),"")</f>
        <v>12</v>
      </c>
    </row>
    <row r="103" spans="1:20" x14ac:dyDescent="0.3">
      <c r="A103" s="27" t="s">
        <v>271</v>
      </c>
      <c r="B103" s="28">
        <v>45537</v>
      </c>
      <c r="C103" s="29" t="s">
        <v>50</v>
      </c>
      <c r="D103" s="29" t="s">
        <v>51</v>
      </c>
      <c r="E103" s="29" t="s">
        <v>52</v>
      </c>
      <c r="F103" s="29" t="s">
        <v>53</v>
      </c>
      <c r="G103" s="29" t="s">
        <v>54</v>
      </c>
      <c r="H103" s="27">
        <v>1</v>
      </c>
      <c r="I103" s="30">
        <v>249.99</v>
      </c>
      <c r="J103" s="29" t="s">
        <v>92</v>
      </c>
      <c r="K103" s="29" t="s">
        <v>75</v>
      </c>
      <c r="L103" s="29" t="s">
        <v>62</v>
      </c>
      <c r="M103" s="28">
        <v>45332</v>
      </c>
      <c r="N103" s="30">
        <f t="shared" si="6"/>
        <v>249.99</v>
      </c>
      <c r="O103" s="28">
        <f t="shared" si="7"/>
        <v>45565</v>
      </c>
      <c r="P103" s="27" t="str">
        <f t="shared" si="8"/>
        <v>Sep 2024</v>
      </c>
      <c r="Q103" s="29">
        <f t="shared" ca="1" si="9"/>
        <v>788</v>
      </c>
      <c r="R103" s="29">
        <f t="shared" si="10"/>
        <v>6</v>
      </c>
      <c r="S103" s="27" t="str">
        <f t="shared" si="11"/>
        <v>PB-023</v>
      </c>
      <c r="T103" s="29">
        <f>IF(AND(K103=Lists_Filter!$J$4,G103=Lists_Filter!$J$5),COUNTIFS(K$2:K103,Lists_Filter!$J$4,G$2:G103,Lists_Filter!$J$5),"")</f>
        <v>13</v>
      </c>
    </row>
    <row r="104" spans="1:20" x14ac:dyDescent="0.3">
      <c r="A104" s="27" t="s">
        <v>272</v>
      </c>
      <c r="B104" s="28">
        <v>45537</v>
      </c>
      <c r="C104" s="29" t="s">
        <v>266</v>
      </c>
      <c r="D104" s="29" t="s">
        <v>267</v>
      </c>
      <c r="E104" s="29" t="s">
        <v>52</v>
      </c>
      <c r="F104" s="29" t="s">
        <v>53</v>
      </c>
      <c r="G104" s="29" t="s">
        <v>54</v>
      </c>
      <c r="H104" s="27">
        <v>1</v>
      </c>
      <c r="I104" s="30">
        <v>249.99</v>
      </c>
      <c r="J104" s="29" t="s">
        <v>61</v>
      </c>
      <c r="K104" s="29" t="s">
        <v>85</v>
      </c>
      <c r="L104" s="29" t="s">
        <v>62</v>
      </c>
      <c r="M104" s="28">
        <v>44685</v>
      </c>
      <c r="N104" s="30">
        <f t="shared" si="6"/>
        <v>249.99</v>
      </c>
      <c r="O104" s="28">
        <f t="shared" si="7"/>
        <v>45565</v>
      </c>
      <c r="P104" s="27" t="str">
        <f t="shared" si="8"/>
        <v>Sep 2024</v>
      </c>
      <c r="Q104" s="29">
        <f t="shared" ca="1" si="9"/>
        <v>788</v>
      </c>
      <c r="R104" s="29">
        <f t="shared" si="10"/>
        <v>27</v>
      </c>
      <c r="S104" s="27" t="str">
        <f t="shared" si="11"/>
        <v>CE-034</v>
      </c>
      <c r="T104" s="27" t="str">
        <f>IF(AND(K104=Lists_Filter!$J$4,G104=Lists_Filter!$J$5),COUNTIFS(K$2:K104,Lists_Filter!$J$4,G$2:G104,Lists_Filter!$J$5),"")</f>
        <v/>
      </c>
    </row>
    <row r="105" spans="1:20" x14ac:dyDescent="0.3">
      <c r="A105" s="27" t="s">
        <v>273</v>
      </c>
      <c r="B105" s="28">
        <v>45538</v>
      </c>
      <c r="C105" s="29" t="s">
        <v>261</v>
      </c>
      <c r="D105" s="29" t="s">
        <v>262</v>
      </c>
      <c r="E105" s="29" t="s">
        <v>115</v>
      </c>
      <c r="F105" s="29" t="s">
        <v>116</v>
      </c>
      <c r="G105" s="29" t="s">
        <v>54</v>
      </c>
      <c r="H105" s="27">
        <v>2</v>
      </c>
      <c r="I105" s="30">
        <v>699.99</v>
      </c>
      <c r="J105" s="29" t="s">
        <v>92</v>
      </c>
      <c r="K105" s="29" t="s">
        <v>56</v>
      </c>
      <c r="L105" s="29" t="s">
        <v>62</v>
      </c>
      <c r="M105" s="28">
        <v>44870</v>
      </c>
      <c r="N105" s="30">
        <f t="shared" si="6"/>
        <v>1399.98</v>
      </c>
      <c r="O105" s="28">
        <f t="shared" si="7"/>
        <v>45565</v>
      </c>
      <c r="P105" s="27" t="str">
        <f t="shared" si="8"/>
        <v>Sep 2024</v>
      </c>
      <c r="Q105" s="29">
        <f t="shared" ca="1" si="9"/>
        <v>787</v>
      </c>
      <c r="R105" s="29">
        <f t="shared" si="10"/>
        <v>21</v>
      </c>
      <c r="S105" s="27" t="str">
        <f t="shared" si="11"/>
        <v>LR-039</v>
      </c>
      <c r="T105" s="27" t="str">
        <f>IF(AND(K105=Lists_Filter!$J$4,G105=Lists_Filter!$J$5),COUNTIFS(K$2:K105,Lists_Filter!$J$4,G$2:G105,Lists_Filter!$J$5),"")</f>
        <v/>
      </c>
    </row>
    <row r="106" spans="1:20" x14ac:dyDescent="0.3">
      <c r="A106" s="27" t="s">
        <v>274</v>
      </c>
      <c r="B106" s="28">
        <v>45541</v>
      </c>
      <c r="C106" s="29" t="s">
        <v>173</v>
      </c>
      <c r="D106" s="29" t="s">
        <v>174</v>
      </c>
      <c r="E106" s="29" t="s">
        <v>66</v>
      </c>
      <c r="F106" s="29" t="s">
        <v>67</v>
      </c>
      <c r="G106" s="29" t="s">
        <v>68</v>
      </c>
      <c r="H106" s="27">
        <v>3</v>
      </c>
      <c r="I106" s="30">
        <v>59.99</v>
      </c>
      <c r="J106" s="29" t="s">
        <v>61</v>
      </c>
      <c r="K106" s="29" t="s">
        <v>56</v>
      </c>
      <c r="L106" s="29" t="s">
        <v>62</v>
      </c>
      <c r="M106" s="28">
        <v>44717</v>
      </c>
      <c r="N106" s="30">
        <f t="shared" si="6"/>
        <v>179.97</v>
      </c>
      <c r="O106" s="28">
        <f t="shared" si="7"/>
        <v>45565</v>
      </c>
      <c r="P106" s="27" t="str">
        <f t="shared" si="8"/>
        <v>Sep 2024</v>
      </c>
      <c r="Q106" s="29">
        <f t="shared" ca="1" si="9"/>
        <v>784</v>
      </c>
      <c r="R106" s="29">
        <f t="shared" si="10"/>
        <v>27</v>
      </c>
      <c r="S106" s="27" t="str">
        <f t="shared" si="11"/>
        <v>ST-031</v>
      </c>
      <c r="T106" s="27" t="str">
        <f>IF(AND(K106=Lists_Filter!$J$4,G106=Lists_Filter!$J$5),COUNTIFS(K$2:K106,Lists_Filter!$J$4,G$2:G106,Lists_Filter!$J$5),"")</f>
        <v/>
      </c>
    </row>
    <row r="107" spans="1:20" x14ac:dyDescent="0.3">
      <c r="A107" s="27" t="s">
        <v>275</v>
      </c>
      <c r="B107" s="28">
        <v>45544</v>
      </c>
      <c r="C107" s="29" t="s">
        <v>176</v>
      </c>
      <c r="D107" s="29" t="s">
        <v>177</v>
      </c>
      <c r="E107" s="29" t="s">
        <v>152</v>
      </c>
      <c r="F107" s="29" t="s">
        <v>153</v>
      </c>
      <c r="G107" s="29" t="s">
        <v>68</v>
      </c>
      <c r="H107" s="27">
        <v>4</v>
      </c>
      <c r="I107" s="30">
        <v>79.989999999999995</v>
      </c>
      <c r="J107" s="29" t="s">
        <v>55</v>
      </c>
      <c r="K107" s="29" t="s">
        <v>75</v>
      </c>
      <c r="L107" s="29" t="s">
        <v>57</v>
      </c>
      <c r="M107" s="28">
        <v>44530</v>
      </c>
      <c r="N107" s="30">
        <f t="shared" si="6"/>
        <v>319.95999999999998</v>
      </c>
      <c r="O107" s="28">
        <f t="shared" si="7"/>
        <v>45565</v>
      </c>
      <c r="P107" s="27" t="str">
        <f t="shared" si="8"/>
        <v>Sep 2024</v>
      </c>
      <c r="Q107" s="29">
        <f t="shared" ca="1" si="9"/>
        <v>781</v>
      </c>
      <c r="R107" s="29">
        <f t="shared" si="10"/>
        <v>33</v>
      </c>
      <c r="S107" s="27" t="str">
        <f t="shared" si="11"/>
        <v>JT-008</v>
      </c>
      <c r="T107" s="27" t="str">
        <f>IF(AND(K107=Lists_Filter!$J$4,G107=Lists_Filter!$J$5),COUNTIFS(K$2:K107,Lists_Filter!$J$4,G$2:G107,Lists_Filter!$J$5),"")</f>
        <v/>
      </c>
    </row>
    <row r="108" spans="1:20" x14ac:dyDescent="0.3">
      <c r="A108" s="27" t="s">
        <v>276</v>
      </c>
      <c r="B108" s="28">
        <v>45544</v>
      </c>
      <c r="C108" s="29" t="s">
        <v>167</v>
      </c>
      <c r="D108" s="29" t="s">
        <v>168</v>
      </c>
      <c r="E108" s="29" t="s">
        <v>66</v>
      </c>
      <c r="F108" s="29" t="s">
        <v>67</v>
      </c>
      <c r="G108" s="29" t="s">
        <v>68</v>
      </c>
      <c r="H108" s="27">
        <v>3</v>
      </c>
      <c r="I108" s="30">
        <v>59.99</v>
      </c>
      <c r="J108" s="29" t="s">
        <v>69</v>
      </c>
      <c r="K108" s="29" t="s">
        <v>98</v>
      </c>
      <c r="L108" s="29" t="s">
        <v>71</v>
      </c>
      <c r="M108" s="28">
        <v>44748</v>
      </c>
      <c r="N108" s="30">
        <f t="shared" si="6"/>
        <v>179.97</v>
      </c>
      <c r="O108" s="28">
        <f t="shared" si="7"/>
        <v>45565</v>
      </c>
      <c r="P108" s="27" t="str">
        <f t="shared" si="8"/>
        <v>Sep 2024</v>
      </c>
      <c r="Q108" s="29">
        <f t="shared" ca="1" si="9"/>
        <v>781</v>
      </c>
      <c r="R108" s="29">
        <f t="shared" si="10"/>
        <v>26</v>
      </c>
      <c r="S108" s="27" t="str">
        <f t="shared" si="11"/>
        <v>EW-002</v>
      </c>
      <c r="T108" s="27" t="str">
        <f>IF(AND(K108=Lists_Filter!$J$4,G108=Lists_Filter!$J$5),COUNTIFS(K$2:K108,Lists_Filter!$J$4,G$2:G108,Lists_Filter!$J$5),"")</f>
        <v/>
      </c>
    </row>
    <row r="109" spans="1:20" x14ac:dyDescent="0.3">
      <c r="A109" s="27" t="s">
        <v>277</v>
      </c>
      <c r="B109" s="28">
        <v>45545</v>
      </c>
      <c r="C109" s="29" t="s">
        <v>90</v>
      </c>
      <c r="D109" s="29" t="s">
        <v>91</v>
      </c>
      <c r="E109" s="29" t="s">
        <v>152</v>
      </c>
      <c r="F109" s="29" t="s">
        <v>153</v>
      </c>
      <c r="G109" s="29" t="s">
        <v>68</v>
      </c>
      <c r="H109" s="27">
        <v>1</v>
      </c>
      <c r="I109" s="30">
        <v>79.989999999999995</v>
      </c>
      <c r="J109" s="29" t="s">
        <v>55</v>
      </c>
      <c r="K109" s="29" t="s">
        <v>85</v>
      </c>
      <c r="L109" s="29" t="s">
        <v>57</v>
      </c>
      <c r="M109" s="28">
        <v>44693</v>
      </c>
      <c r="N109" s="30">
        <f t="shared" si="6"/>
        <v>79.989999999999995</v>
      </c>
      <c r="O109" s="28">
        <f t="shared" si="7"/>
        <v>45565</v>
      </c>
      <c r="P109" s="27" t="str">
        <f t="shared" si="8"/>
        <v>Sep 2024</v>
      </c>
      <c r="Q109" s="29">
        <f t="shared" ca="1" si="9"/>
        <v>780</v>
      </c>
      <c r="R109" s="29">
        <f t="shared" si="10"/>
        <v>27</v>
      </c>
      <c r="S109" s="27" t="str">
        <f t="shared" si="11"/>
        <v>CA-017</v>
      </c>
      <c r="T109" s="27" t="str">
        <f>IF(AND(K109=Lists_Filter!$J$4,G109=Lists_Filter!$J$5),COUNTIFS(K$2:K109,Lists_Filter!$J$4,G$2:G109,Lists_Filter!$J$5),"")</f>
        <v/>
      </c>
    </row>
    <row r="110" spans="1:20" x14ac:dyDescent="0.3">
      <c r="A110" s="27" t="s">
        <v>278</v>
      </c>
      <c r="B110" s="28">
        <v>45547</v>
      </c>
      <c r="C110" s="29" t="s">
        <v>83</v>
      </c>
      <c r="D110" s="29" t="s">
        <v>84</v>
      </c>
      <c r="E110" s="29" t="s">
        <v>140</v>
      </c>
      <c r="F110" s="29" t="s">
        <v>141</v>
      </c>
      <c r="G110" s="29" t="s">
        <v>81</v>
      </c>
      <c r="H110" s="27">
        <v>3</v>
      </c>
      <c r="I110" s="30">
        <v>299.99</v>
      </c>
      <c r="J110" s="29" t="s">
        <v>61</v>
      </c>
      <c r="K110" s="29" t="s">
        <v>56</v>
      </c>
      <c r="L110" s="29" t="s">
        <v>62</v>
      </c>
      <c r="M110" s="28">
        <v>44494</v>
      </c>
      <c r="N110" s="30">
        <f t="shared" si="6"/>
        <v>899.97</v>
      </c>
      <c r="O110" s="28">
        <f t="shared" si="7"/>
        <v>45565</v>
      </c>
      <c r="P110" s="27" t="str">
        <f t="shared" si="8"/>
        <v>Sep 2024</v>
      </c>
      <c r="Q110" s="29">
        <f t="shared" ca="1" si="9"/>
        <v>778</v>
      </c>
      <c r="R110" s="29">
        <f t="shared" si="10"/>
        <v>34</v>
      </c>
      <c r="S110" s="27" t="str">
        <f t="shared" si="11"/>
        <v>DN-024</v>
      </c>
      <c r="T110" s="27" t="str">
        <f>IF(AND(K110=Lists_Filter!$J$4,G110=Lists_Filter!$J$5),COUNTIFS(K$2:K110,Lists_Filter!$J$4,G$2:G110,Lists_Filter!$J$5),"")</f>
        <v/>
      </c>
    </row>
    <row r="111" spans="1:20" x14ac:dyDescent="0.3">
      <c r="A111" s="27" t="s">
        <v>279</v>
      </c>
      <c r="B111" s="28">
        <v>45548</v>
      </c>
      <c r="C111" s="29" t="s">
        <v>73</v>
      </c>
      <c r="D111" s="29" t="s">
        <v>74</v>
      </c>
      <c r="E111" s="29" t="s">
        <v>146</v>
      </c>
      <c r="F111" s="29" t="s">
        <v>147</v>
      </c>
      <c r="G111" s="29" t="s">
        <v>54</v>
      </c>
      <c r="H111" s="27">
        <v>2</v>
      </c>
      <c r="I111" s="30">
        <v>89.99</v>
      </c>
      <c r="J111" s="29" t="s">
        <v>61</v>
      </c>
      <c r="K111" s="29" t="s">
        <v>70</v>
      </c>
      <c r="L111" s="29" t="s">
        <v>62</v>
      </c>
      <c r="M111" s="28">
        <v>44641</v>
      </c>
      <c r="N111" s="30">
        <f t="shared" si="6"/>
        <v>179.98</v>
      </c>
      <c r="O111" s="28">
        <f t="shared" si="7"/>
        <v>45565</v>
      </c>
      <c r="P111" s="27" t="str">
        <f t="shared" si="8"/>
        <v>Sep 2024</v>
      </c>
      <c r="Q111" s="29">
        <f t="shared" ca="1" si="9"/>
        <v>777</v>
      </c>
      <c r="R111" s="29">
        <f t="shared" si="10"/>
        <v>29</v>
      </c>
      <c r="S111" s="27" t="str">
        <f t="shared" si="11"/>
        <v>KB-046</v>
      </c>
      <c r="T111" s="27" t="str">
        <f>IF(AND(K111=Lists_Filter!$J$4,G111=Lists_Filter!$J$5),COUNTIFS(K$2:K111,Lists_Filter!$J$4,G$2:G111,Lists_Filter!$J$5),"")</f>
        <v/>
      </c>
    </row>
    <row r="112" spans="1:20" x14ac:dyDescent="0.3">
      <c r="A112" s="27" t="s">
        <v>280</v>
      </c>
      <c r="B112" s="28">
        <v>45550</v>
      </c>
      <c r="C112" s="29" t="s">
        <v>281</v>
      </c>
      <c r="D112" s="29" t="s">
        <v>282</v>
      </c>
      <c r="E112" s="29" t="s">
        <v>87</v>
      </c>
      <c r="F112" s="29" t="s">
        <v>88</v>
      </c>
      <c r="G112" s="29" t="s">
        <v>54</v>
      </c>
      <c r="H112" s="27">
        <v>4</v>
      </c>
      <c r="I112" s="30">
        <v>149.99</v>
      </c>
      <c r="J112" s="29" t="s">
        <v>55</v>
      </c>
      <c r="K112" s="29" t="s">
        <v>75</v>
      </c>
      <c r="L112" s="29" t="s">
        <v>57</v>
      </c>
      <c r="M112" s="28">
        <v>44909</v>
      </c>
      <c r="N112" s="30">
        <f t="shared" si="6"/>
        <v>599.96</v>
      </c>
      <c r="O112" s="28">
        <f t="shared" si="7"/>
        <v>45565</v>
      </c>
      <c r="P112" s="27" t="str">
        <f t="shared" si="8"/>
        <v>Sep 2024</v>
      </c>
      <c r="Q112" s="29">
        <f t="shared" ca="1" si="9"/>
        <v>775</v>
      </c>
      <c r="R112" s="29">
        <f t="shared" si="10"/>
        <v>21</v>
      </c>
      <c r="S112" s="27" t="str">
        <f t="shared" si="11"/>
        <v>RB-042</v>
      </c>
      <c r="T112" s="29">
        <f>IF(AND(K112=Lists_Filter!$J$4,G112=Lists_Filter!$J$5),COUNTIFS(K$2:K112,Lists_Filter!$J$4,G$2:G112,Lists_Filter!$J$5),"")</f>
        <v>14</v>
      </c>
    </row>
    <row r="113" spans="1:20" x14ac:dyDescent="0.3">
      <c r="A113" s="27" t="s">
        <v>283</v>
      </c>
      <c r="B113" s="28">
        <v>45551</v>
      </c>
      <c r="C113" s="29" t="s">
        <v>189</v>
      </c>
      <c r="D113" s="29" t="s">
        <v>190</v>
      </c>
      <c r="E113" s="29" t="s">
        <v>158</v>
      </c>
      <c r="F113" s="29" t="s">
        <v>159</v>
      </c>
      <c r="G113" s="29" t="s">
        <v>81</v>
      </c>
      <c r="H113" s="27">
        <v>4</v>
      </c>
      <c r="I113" s="30">
        <v>199.99</v>
      </c>
      <c r="J113" s="29" t="s">
        <v>92</v>
      </c>
      <c r="K113" s="29" t="s">
        <v>98</v>
      </c>
      <c r="L113" s="29" t="s">
        <v>57</v>
      </c>
      <c r="M113" s="28">
        <v>44458</v>
      </c>
      <c r="N113" s="30">
        <f t="shared" si="6"/>
        <v>799.96</v>
      </c>
      <c r="O113" s="28">
        <f t="shared" si="7"/>
        <v>45565</v>
      </c>
      <c r="P113" s="27" t="str">
        <f t="shared" si="8"/>
        <v>Sep 2024</v>
      </c>
      <c r="Q113" s="29">
        <f t="shared" ca="1" si="9"/>
        <v>774</v>
      </c>
      <c r="R113" s="29">
        <f t="shared" si="10"/>
        <v>35</v>
      </c>
      <c r="S113" s="27" t="str">
        <f t="shared" si="11"/>
        <v>SD-004</v>
      </c>
      <c r="T113" s="27" t="str">
        <f>IF(AND(K113=Lists_Filter!$J$4,G113=Lists_Filter!$J$5),COUNTIFS(K$2:K113,Lists_Filter!$J$4,G$2:G113,Lists_Filter!$J$5),"")</f>
        <v/>
      </c>
    </row>
    <row r="114" spans="1:20" x14ac:dyDescent="0.3">
      <c r="A114" s="27" t="s">
        <v>284</v>
      </c>
      <c r="B114" s="28">
        <v>45551</v>
      </c>
      <c r="C114" s="29" t="s">
        <v>103</v>
      </c>
      <c r="D114" s="29" t="s">
        <v>104</v>
      </c>
      <c r="E114" s="29" t="s">
        <v>52</v>
      </c>
      <c r="F114" s="29" t="s">
        <v>53</v>
      </c>
      <c r="G114" s="29" t="s">
        <v>54</v>
      </c>
      <c r="H114" s="27">
        <v>2</v>
      </c>
      <c r="I114" s="30">
        <v>249.99</v>
      </c>
      <c r="J114" s="29" t="s">
        <v>69</v>
      </c>
      <c r="K114" s="29" t="s">
        <v>70</v>
      </c>
      <c r="L114" s="29" t="s">
        <v>57</v>
      </c>
      <c r="M114" s="28">
        <v>44993</v>
      </c>
      <c r="N114" s="30">
        <f t="shared" si="6"/>
        <v>499.98</v>
      </c>
      <c r="O114" s="28">
        <f t="shared" si="7"/>
        <v>45565</v>
      </c>
      <c r="P114" s="27" t="str">
        <f t="shared" si="8"/>
        <v>Sep 2024</v>
      </c>
      <c r="Q114" s="29">
        <f t="shared" ca="1" si="9"/>
        <v>774</v>
      </c>
      <c r="R114" s="29">
        <f t="shared" si="10"/>
        <v>18</v>
      </c>
      <c r="S114" s="27" t="str">
        <f t="shared" si="11"/>
        <v>KH-026</v>
      </c>
      <c r="T114" s="27" t="str">
        <f>IF(AND(K114=Lists_Filter!$J$4,G114=Lists_Filter!$J$5),COUNTIFS(K$2:K114,Lists_Filter!$J$4,G$2:G114,Lists_Filter!$J$5),"")</f>
        <v/>
      </c>
    </row>
    <row r="115" spans="1:20" x14ac:dyDescent="0.3">
      <c r="A115" s="27" t="s">
        <v>285</v>
      </c>
      <c r="B115" s="28">
        <v>45554</v>
      </c>
      <c r="C115" s="29" t="s">
        <v>182</v>
      </c>
      <c r="D115" s="29" t="s">
        <v>183</v>
      </c>
      <c r="E115" s="29" t="s">
        <v>146</v>
      </c>
      <c r="F115" s="29" t="s">
        <v>147</v>
      </c>
      <c r="G115" s="29" t="s">
        <v>54</v>
      </c>
      <c r="H115" s="27">
        <v>5</v>
      </c>
      <c r="I115" s="30">
        <v>89.99</v>
      </c>
      <c r="J115" s="29" t="s">
        <v>61</v>
      </c>
      <c r="K115" s="29" t="s">
        <v>98</v>
      </c>
      <c r="L115" s="29" t="s">
        <v>62</v>
      </c>
      <c r="M115" s="28">
        <v>44446</v>
      </c>
      <c r="N115" s="30">
        <f t="shared" si="6"/>
        <v>449.95</v>
      </c>
      <c r="O115" s="28">
        <f t="shared" si="7"/>
        <v>45565</v>
      </c>
      <c r="P115" s="27" t="str">
        <f t="shared" si="8"/>
        <v>Sep 2024</v>
      </c>
      <c r="Q115" s="29">
        <f t="shared" ca="1" si="9"/>
        <v>771</v>
      </c>
      <c r="R115" s="29">
        <f t="shared" si="10"/>
        <v>36</v>
      </c>
      <c r="S115" s="27" t="str">
        <f t="shared" si="11"/>
        <v>DK-019</v>
      </c>
      <c r="T115" s="27" t="str">
        <f>IF(AND(K115=Lists_Filter!$J$4,G115=Lists_Filter!$J$5),COUNTIFS(K$2:K115,Lists_Filter!$J$4,G$2:G115,Lists_Filter!$J$5),"")</f>
        <v/>
      </c>
    </row>
    <row r="116" spans="1:20" x14ac:dyDescent="0.3">
      <c r="A116" s="27" t="s">
        <v>286</v>
      </c>
      <c r="B116" s="28">
        <v>45554</v>
      </c>
      <c r="C116" s="29" t="s">
        <v>287</v>
      </c>
      <c r="D116" s="29" t="s">
        <v>288</v>
      </c>
      <c r="E116" s="29" t="s">
        <v>87</v>
      </c>
      <c r="F116" s="29" t="s">
        <v>88</v>
      </c>
      <c r="G116" s="29" t="s">
        <v>54</v>
      </c>
      <c r="H116" s="27">
        <v>1</v>
      </c>
      <c r="I116" s="30">
        <v>149.99</v>
      </c>
      <c r="J116" s="29" t="s">
        <v>69</v>
      </c>
      <c r="K116" s="29" t="s">
        <v>98</v>
      </c>
      <c r="L116" s="29" t="s">
        <v>71</v>
      </c>
      <c r="M116" s="28">
        <v>44482</v>
      </c>
      <c r="N116" s="30">
        <f t="shared" si="6"/>
        <v>149.99</v>
      </c>
      <c r="O116" s="28">
        <f t="shared" si="7"/>
        <v>45565</v>
      </c>
      <c r="P116" s="27" t="str">
        <f t="shared" si="8"/>
        <v>Sep 2024</v>
      </c>
      <c r="Q116" s="29">
        <f t="shared" ca="1" si="9"/>
        <v>771</v>
      </c>
      <c r="R116" s="29">
        <f t="shared" si="10"/>
        <v>35</v>
      </c>
      <c r="S116" s="27" t="str">
        <f t="shared" si="11"/>
        <v>WW-011</v>
      </c>
      <c r="T116" s="27" t="str">
        <f>IF(AND(K116=Lists_Filter!$J$4,G116=Lists_Filter!$J$5),COUNTIFS(K$2:K116,Lists_Filter!$J$4,G$2:G116,Lists_Filter!$J$5),"")</f>
        <v/>
      </c>
    </row>
    <row r="117" spans="1:20" x14ac:dyDescent="0.3">
      <c r="A117" s="27" t="s">
        <v>289</v>
      </c>
      <c r="B117" s="28">
        <v>45554</v>
      </c>
      <c r="C117" s="29" t="s">
        <v>107</v>
      </c>
      <c r="D117" s="29" t="s">
        <v>108</v>
      </c>
      <c r="E117" s="29" t="s">
        <v>115</v>
      </c>
      <c r="F117" s="29" t="s">
        <v>116</v>
      </c>
      <c r="G117" s="29" t="s">
        <v>54</v>
      </c>
      <c r="H117" s="27">
        <v>4</v>
      </c>
      <c r="I117" s="30">
        <v>699.99</v>
      </c>
      <c r="J117" s="29" t="s">
        <v>69</v>
      </c>
      <c r="K117" s="29" t="s">
        <v>70</v>
      </c>
      <c r="L117" s="29" t="s">
        <v>57</v>
      </c>
      <c r="M117" s="28">
        <v>44618</v>
      </c>
      <c r="N117" s="30">
        <f t="shared" si="6"/>
        <v>2799.96</v>
      </c>
      <c r="O117" s="28">
        <f t="shared" si="7"/>
        <v>45565</v>
      </c>
      <c r="P117" s="27" t="str">
        <f t="shared" si="8"/>
        <v>Sep 2024</v>
      </c>
      <c r="Q117" s="29">
        <f t="shared" ca="1" si="9"/>
        <v>771</v>
      </c>
      <c r="R117" s="29">
        <f t="shared" si="10"/>
        <v>30</v>
      </c>
      <c r="S117" s="27" t="str">
        <f t="shared" si="11"/>
        <v>PR-041</v>
      </c>
      <c r="T117" s="27" t="str">
        <f>IF(AND(K117=Lists_Filter!$J$4,G117=Lists_Filter!$J$5),COUNTIFS(K$2:K117,Lists_Filter!$J$4,G$2:G117,Lists_Filter!$J$5),"")</f>
        <v/>
      </c>
    </row>
    <row r="118" spans="1:20" x14ac:dyDescent="0.3">
      <c r="A118" s="27" t="s">
        <v>290</v>
      </c>
      <c r="B118" s="28">
        <v>45559</v>
      </c>
      <c r="C118" s="29" t="s">
        <v>269</v>
      </c>
      <c r="D118" s="29" t="s">
        <v>270</v>
      </c>
      <c r="E118" s="29" t="s">
        <v>96</v>
      </c>
      <c r="F118" s="29" t="s">
        <v>97</v>
      </c>
      <c r="G118" s="29" t="s">
        <v>54</v>
      </c>
      <c r="H118" s="27">
        <v>3</v>
      </c>
      <c r="I118" s="30">
        <v>899.99</v>
      </c>
      <c r="J118" s="29" t="s">
        <v>61</v>
      </c>
      <c r="K118" s="29" t="s">
        <v>75</v>
      </c>
      <c r="L118" s="29" t="s">
        <v>71</v>
      </c>
      <c r="M118" s="28">
        <v>45157</v>
      </c>
      <c r="N118" s="30">
        <f t="shared" si="6"/>
        <v>2699.9700000000003</v>
      </c>
      <c r="O118" s="28">
        <f t="shared" si="7"/>
        <v>45565</v>
      </c>
      <c r="P118" s="27" t="str">
        <f t="shared" si="8"/>
        <v>Sep 2024</v>
      </c>
      <c r="Q118" s="29">
        <f t="shared" ca="1" si="9"/>
        <v>766</v>
      </c>
      <c r="R118" s="29">
        <f t="shared" si="10"/>
        <v>13</v>
      </c>
      <c r="S118" s="27" t="str">
        <f t="shared" si="11"/>
        <v>SP-032</v>
      </c>
      <c r="T118" s="29">
        <f>IF(AND(K118=Lists_Filter!$J$4,G118=Lists_Filter!$J$5),COUNTIFS(K$2:K118,Lists_Filter!$J$4,G$2:G118,Lists_Filter!$J$5),"")</f>
        <v>15</v>
      </c>
    </row>
    <row r="119" spans="1:20" x14ac:dyDescent="0.3">
      <c r="A119" s="27" t="s">
        <v>291</v>
      </c>
      <c r="B119" s="28">
        <v>45560</v>
      </c>
      <c r="C119" s="29" t="s">
        <v>150</v>
      </c>
      <c r="D119" s="29" t="s">
        <v>151</v>
      </c>
      <c r="E119" s="29" t="s">
        <v>79</v>
      </c>
      <c r="F119" s="29" t="s">
        <v>80</v>
      </c>
      <c r="G119" s="29" t="s">
        <v>81</v>
      </c>
      <c r="H119" s="27">
        <v>3</v>
      </c>
      <c r="I119" s="30">
        <v>149.99</v>
      </c>
      <c r="J119" s="29" t="s">
        <v>69</v>
      </c>
      <c r="K119" s="29" t="s">
        <v>98</v>
      </c>
      <c r="L119" s="29" t="s">
        <v>57</v>
      </c>
      <c r="M119" s="28">
        <v>44886</v>
      </c>
      <c r="N119" s="30">
        <f t="shared" si="6"/>
        <v>449.97</v>
      </c>
      <c r="O119" s="28">
        <f t="shared" si="7"/>
        <v>45565</v>
      </c>
      <c r="P119" s="27" t="str">
        <f t="shared" si="8"/>
        <v>Sep 2024</v>
      </c>
      <c r="Q119" s="29">
        <f t="shared" ca="1" si="9"/>
        <v>765</v>
      </c>
      <c r="R119" s="29">
        <f t="shared" si="10"/>
        <v>22</v>
      </c>
      <c r="S119" s="27" t="str">
        <f t="shared" si="11"/>
        <v>LM-014</v>
      </c>
      <c r="T119" s="27" t="str">
        <f>IF(AND(K119=Lists_Filter!$J$4,G119=Lists_Filter!$J$5),COUNTIFS(K$2:K119,Lists_Filter!$J$4,G$2:G119,Lists_Filter!$J$5),"")</f>
        <v/>
      </c>
    </row>
    <row r="120" spans="1:20" x14ac:dyDescent="0.3">
      <c r="A120" s="27" t="s">
        <v>292</v>
      </c>
      <c r="B120" s="28">
        <v>45563</v>
      </c>
      <c r="C120" s="29" t="s">
        <v>134</v>
      </c>
      <c r="D120" s="29" t="s">
        <v>135</v>
      </c>
      <c r="E120" s="29" t="s">
        <v>140</v>
      </c>
      <c r="F120" s="29" t="s">
        <v>141</v>
      </c>
      <c r="G120" s="29" t="s">
        <v>81</v>
      </c>
      <c r="H120" s="27">
        <v>2</v>
      </c>
      <c r="I120" s="30">
        <v>299.99</v>
      </c>
      <c r="J120" s="29" t="s">
        <v>92</v>
      </c>
      <c r="K120" s="29" t="s">
        <v>56</v>
      </c>
      <c r="L120" s="29" t="s">
        <v>57</v>
      </c>
      <c r="M120" s="28">
        <v>44569</v>
      </c>
      <c r="N120" s="30">
        <f t="shared" si="6"/>
        <v>599.98</v>
      </c>
      <c r="O120" s="28">
        <f t="shared" si="7"/>
        <v>45565</v>
      </c>
      <c r="P120" s="27" t="str">
        <f t="shared" si="8"/>
        <v>Sep 2024</v>
      </c>
      <c r="Q120" s="29">
        <f t="shared" ca="1" si="9"/>
        <v>762</v>
      </c>
      <c r="R120" s="29">
        <f t="shared" si="10"/>
        <v>32</v>
      </c>
      <c r="S120" s="27" t="str">
        <f t="shared" si="11"/>
        <v>PM-012</v>
      </c>
      <c r="T120" s="27" t="str">
        <f>IF(AND(K120=Lists_Filter!$J$4,G120=Lists_Filter!$J$5),COUNTIFS(K$2:K120,Lists_Filter!$J$4,G$2:G120,Lists_Filter!$J$5),"")</f>
        <v/>
      </c>
    </row>
    <row r="121" spans="1:20" x14ac:dyDescent="0.3">
      <c r="A121" s="27" t="s">
        <v>293</v>
      </c>
      <c r="B121" s="28">
        <v>45564</v>
      </c>
      <c r="C121" s="29" t="s">
        <v>294</v>
      </c>
      <c r="D121" s="29" t="s">
        <v>295</v>
      </c>
      <c r="E121" s="29" t="s">
        <v>158</v>
      </c>
      <c r="F121" s="29" t="s">
        <v>159</v>
      </c>
      <c r="G121" s="29" t="s">
        <v>81</v>
      </c>
      <c r="H121" s="27">
        <v>1</v>
      </c>
      <c r="I121" s="30">
        <v>199.99</v>
      </c>
      <c r="J121" s="29" t="s">
        <v>92</v>
      </c>
      <c r="K121" s="29" t="s">
        <v>98</v>
      </c>
      <c r="L121" s="29" t="s">
        <v>71</v>
      </c>
      <c r="M121" s="28">
        <v>44953</v>
      </c>
      <c r="N121" s="30">
        <f t="shared" si="6"/>
        <v>199.99</v>
      </c>
      <c r="O121" s="28">
        <f t="shared" si="7"/>
        <v>45565</v>
      </c>
      <c r="P121" s="27" t="str">
        <f t="shared" si="8"/>
        <v>Sep 2024</v>
      </c>
      <c r="Q121" s="29">
        <f t="shared" ca="1" si="9"/>
        <v>761</v>
      </c>
      <c r="R121" s="29">
        <f t="shared" si="10"/>
        <v>20</v>
      </c>
      <c r="S121" s="27" t="str">
        <f t="shared" si="11"/>
        <v>RL-015</v>
      </c>
      <c r="T121" s="27" t="str">
        <f>IF(AND(K121=Lists_Filter!$J$4,G121=Lists_Filter!$J$5),COUNTIFS(K$2:K121,Lists_Filter!$J$4,G$2:G121,Lists_Filter!$J$5),"")</f>
        <v/>
      </c>
    </row>
    <row r="122" spans="1:20" x14ac:dyDescent="0.3">
      <c r="A122" s="27" t="s">
        <v>296</v>
      </c>
      <c r="B122" s="28">
        <v>45566</v>
      </c>
      <c r="C122" s="29" t="s">
        <v>77</v>
      </c>
      <c r="D122" s="29" t="s">
        <v>78</v>
      </c>
      <c r="E122" s="29" t="s">
        <v>140</v>
      </c>
      <c r="F122" s="29" t="s">
        <v>141</v>
      </c>
      <c r="G122" s="29" t="s">
        <v>81</v>
      </c>
      <c r="H122" s="27">
        <v>4</v>
      </c>
      <c r="I122" s="30">
        <v>299.99</v>
      </c>
      <c r="J122" s="29" t="s">
        <v>55</v>
      </c>
      <c r="K122" s="29" t="s">
        <v>56</v>
      </c>
      <c r="L122" s="29" t="s">
        <v>62</v>
      </c>
      <c r="M122" s="28">
        <v>44460</v>
      </c>
      <c r="N122" s="30">
        <f t="shared" si="6"/>
        <v>1199.96</v>
      </c>
      <c r="O122" s="28">
        <f t="shared" si="7"/>
        <v>45596</v>
      </c>
      <c r="P122" s="27" t="str">
        <f t="shared" si="8"/>
        <v>Oct 2024</v>
      </c>
      <c r="Q122" s="29">
        <f t="shared" ca="1" si="9"/>
        <v>759</v>
      </c>
      <c r="R122" s="29">
        <f t="shared" si="10"/>
        <v>36</v>
      </c>
      <c r="S122" s="27" t="str">
        <f t="shared" si="11"/>
        <v>MB-003</v>
      </c>
      <c r="T122" s="27" t="str">
        <f>IF(AND(K122=Lists_Filter!$J$4,G122=Lists_Filter!$J$5),COUNTIFS(K$2:K122,Lists_Filter!$J$4,G$2:G122,Lists_Filter!$J$5),"")</f>
        <v/>
      </c>
    </row>
    <row r="123" spans="1:20" x14ac:dyDescent="0.3">
      <c r="A123" s="27" t="s">
        <v>297</v>
      </c>
      <c r="B123" s="28">
        <v>45572</v>
      </c>
      <c r="C123" s="29" t="s">
        <v>125</v>
      </c>
      <c r="D123" s="29" t="s">
        <v>126</v>
      </c>
      <c r="E123" s="29" t="s">
        <v>66</v>
      </c>
      <c r="F123" s="29" t="s">
        <v>67</v>
      </c>
      <c r="G123" s="29" t="s">
        <v>68</v>
      </c>
      <c r="H123" s="27">
        <v>2</v>
      </c>
      <c r="I123" s="30">
        <v>59.99</v>
      </c>
      <c r="J123" s="29" t="s">
        <v>61</v>
      </c>
      <c r="K123" s="29" t="s">
        <v>56</v>
      </c>
      <c r="L123" s="29" t="s">
        <v>57</v>
      </c>
      <c r="M123" s="28">
        <v>44579</v>
      </c>
      <c r="N123" s="30">
        <f t="shared" si="6"/>
        <v>119.98</v>
      </c>
      <c r="O123" s="28">
        <f t="shared" si="7"/>
        <v>45596</v>
      </c>
      <c r="P123" s="27" t="str">
        <f t="shared" si="8"/>
        <v>Oct 2024</v>
      </c>
      <c r="Q123" s="29">
        <f t="shared" ca="1" si="9"/>
        <v>753</v>
      </c>
      <c r="R123" s="29">
        <f t="shared" si="10"/>
        <v>32</v>
      </c>
      <c r="S123" s="27" t="str">
        <f t="shared" si="11"/>
        <v>MG-010</v>
      </c>
      <c r="T123" s="27" t="str">
        <f>IF(AND(K123=Lists_Filter!$J$4,G123=Lists_Filter!$J$5),COUNTIFS(K$2:K123,Lists_Filter!$J$4,G$2:G123,Lists_Filter!$J$5),"")</f>
        <v/>
      </c>
    </row>
    <row r="124" spans="1:20" x14ac:dyDescent="0.3">
      <c r="A124" s="27" t="s">
        <v>298</v>
      </c>
      <c r="B124" s="28">
        <v>45572</v>
      </c>
      <c r="C124" s="29" t="s">
        <v>269</v>
      </c>
      <c r="D124" s="29" t="s">
        <v>270</v>
      </c>
      <c r="E124" s="29" t="s">
        <v>87</v>
      </c>
      <c r="F124" s="29" t="s">
        <v>88</v>
      </c>
      <c r="G124" s="29" t="s">
        <v>54</v>
      </c>
      <c r="H124" s="27">
        <v>4</v>
      </c>
      <c r="I124" s="30">
        <v>149.99</v>
      </c>
      <c r="J124" s="29" t="s">
        <v>61</v>
      </c>
      <c r="K124" s="29" t="s">
        <v>75</v>
      </c>
      <c r="L124" s="29" t="s">
        <v>62</v>
      </c>
      <c r="M124" s="28">
        <v>45076</v>
      </c>
      <c r="N124" s="30">
        <f t="shared" si="6"/>
        <v>599.96</v>
      </c>
      <c r="O124" s="28">
        <f t="shared" si="7"/>
        <v>45596</v>
      </c>
      <c r="P124" s="27" t="str">
        <f t="shared" si="8"/>
        <v>Oct 2024</v>
      </c>
      <c r="Q124" s="29">
        <f t="shared" ca="1" si="9"/>
        <v>753</v>
      </c>
      <c r="R124" s="29">
        <f t="shared" si="10"/>
        <v>16</v>
      </c>
      <c r="S124" s="27" t="str">
        <f t="shared" si="11"/>
        <v>SP-032</v>
      </c>
      <c r="T124" s="29">
        <f>IF(AND(K124=Lists_Filter!$J$4,G124=Lists_Filter!$J$5),COUNTIFS(K$2:K124,Lists_Filter!$J$4,G$2:G124,Lists_Filter!$J$5),"")</f>
        <v>16</v>
      </c>
    </row>
    <row r="125" spans="1:20" x14ac:dyDescent="0.3">
      <c r="A125" s="27" t="s">
        <v>299</v>
      </c>
      <c r="B125" s="28">
        <v>45573</v>
      </c>
      <c r="C125" s="29" t="s">
        <v>246</v>
      </c>
      <c r="D125" s="29" t="s">
        <v>247</v>
      </c>
      <c r="E125" s="29" t="s">
        <v>115</v>
      </c>
      <c r="F125" s="29" t="s">
        <v>116</v>
      </c>
      <c r="G125" s="29" t="s">
        <v>54</v>
      </c>
      <c r="H125" s="27">
        <v>2</v>
      </c>
      <c r="I125" s="30">
        <v>699.99</v>
      </c>
      <c r="J125" s="29" t="s">
        <v>92</v>
      </c>
      <c r="K125" s="29" t="s">
        <v>98</v>
      </c>
      <c r="L125" s="29" t="s">
        <v>62</v>
      </c>
      <c r="M125" s="28">
        <v>45274</v>
      </c>
      <c r="N125" s="30">
        <f t="shared" si="6"/>
        <v>1399.98</v>
      </c>
      <c r="O125" s="28">
        <f t="shared" si="7"/>
        <v>45596</v>
      </c>
      <c r="P125" s="27" t="str">
        <f t="shared" si="8"/>
        <v>Oct 2024</v>
      </c>
      <c r="Q125" s="29">
        <f t="shared" ca="1" si="9"/>
        <v>752</v>
      </c>
      <c r="R125" s="29">
        <f t="shared" si="10"/>
        <v>9</v>
      </c>
      <c r="S125" s="27" t="str">
        <f t="shared" si="11"/>
        <v>EH-016</v>
      </c>
      <c r="T125" s="27" t="str">
        <f>IF(AND(K125=Lists_Filter!$J$4,G125=Lists_Filter!$J$5),COUNTIFS(K$2:K125,Lists_Filter!$J$4,G$2:G125,Lists_Filter!$J$5),"")</f>
        <v/>
      </c>
    </row>
    <row r="126" spans="1:20" x14ac:dyDescent="0.3">
      <c r="A126" s="27" t="s">
        <v>300</v>
      </c>
      <c r="B126" s="28">
        <v>45573</v>
      </c>
      <c r="C126" s="29" t="s">
        <v>266</v>
      </c>
      <c r="D126" s="29" t="s">
        <v>267</v>
      </c>
      <c r="E126" s="29" t="s">
        <v>79</v>
      </c>
      <c r="F126" s="29" t="s">
        <v>80</v>
      </c>
      <c r="G126" s="29" t="s">
        <v>81</v>
      </c>
      <c r="H126" s="27">
        <v>3</v>
      </c>
      <c r="I126" s="30">
        <v>149.99</v>
      </c>
      <c r="J126" s="29" t="s">
        <v>61</v>
      </c>
      <c r="K126" s="29" t="s">
        <v>70</v>
      </c>
      <c r="L126" s="29" t="s">
        <v>71</v>
      </c>
      <c r="M126" s="28">
        <v>44940</v>
      </c>
      <c r="N126" s="30">
        <f t="shared" si="6"/>
        <v>449.97</v>
      </c>
      <c r="O126" s="28">
        <f t="shared" si="7"/>
        <v>45596</v>
      </c>
      <c r="P126" s="27" t="str">
        <f t="shared" si="8"/>
        <v>Oct 2024</v>
      </c>
      <c r="Q126" s="29">
        <f t="shared" ca="1" si="9"/>
        <v>752</v>
      </c>
      <c r="R126" s="29">
        <f t="shared" si="10"/>
        <v>20</v>
      </c>
      <c r="S126" s="27" t="str">
        <f t="shared" si="11"/>
        <v>CE-034</v>
      </c>
      <c r="T126" s="27" t="str">
        <f>IF(AND(K126=Lists_Filter!$J$4,G126=Lists_Filter!$J$5),COUNTIFS(K$2:K126,Lists_Filter!$J$4,G$2:G126,Lists_Filter!$J$5),"")</f>
        <v/>
      </c>
    </row>
    <row r="127" spans="1:20" x14ac:dyDescent="0.3">
      <c r="A127" s="27" t="s">
        <v>301</v>
      </c>
      <c r="B127" s="28">
        <v>45576</v>
      </c>
      <c r="C127" s="29" t="s">
        <v>182</v>
      </c>
      <c r="D127" s="29" t="s">
        <v>183</v>
      </c>
      <c r="E127" s="29" t="s">
        <v>140</v>
      </c>
      <c r="F127" s="29" t="s">
        <v>141</v>
      </c>
      <c r="G127" s="29" t="s">
        <v>81</v>
      </c>
      <c r="H127" s="27">
        <v>3</v>
      </c>
      <c r="I127" s="30">
        <v>299.99</v>
      </c>
      <c r="J127" s="29" t="s">
        <v>61</v>
      </c>
      <c r="K127" s="29" t="s">
        <v>56</v>
      </c>
      <c r="L127" s="29" t="s">
        <v>71</v>
      </c>
      <c r="M127" s="28">
        <v>45174</v>
      </c>
      <c r="N127" s="30">
        <f t="shared" si="6"/>
        <v>899.97</v>
      </c>
      <c r="O127" s="28">
        <f t="shared" si="7"/>
        <v>45596</v>
      </c>
      <c r="P127" s="27" t="str">
        <f t="shared" si="8"/>
        <v>Oct 2024</v>
      </c>
      <c r="Q127" s="29">
        <f t="shared" ca="1" si="9"/>
        <v>749</v>
      </c>
      <c r="R127" s="29">
        <f t="shared" si="10"/>
        <v>13</v>
      </c>
      <c r="S127" s="27" t="str">
        <f t="shared" si="11"/>
        <v>DK-019</v>
      </c>
      <c r="T127" s="27" t="str">
        <f>IF(AND(K127=Lists_Filter!$J$4,G127=Lists_Filter!$J$5),COUNTIFS(K$2:K127,Lists_Filter!$J$4,G$2:G127,Lists_Filter!$J$5),"")</f>
        <v/>
      </c>
    </row>
    <row r="128" spans="1:20" x14ac:dyDescent="0.3">
      <c r="A128" s="27" t="s">
        <v>302</v>
      </c>
      <c r="B128" s="28">
        <v>45579</v>
      </c>
      <c r="C128" s="29" t="s">
        <v>118</v>
      </c>
      <c r="D128" s="29" t="s">
        <v>119</v>
      </c>
      <c r="E128" s="29" t="s">
        <v>96</v>
      </c>
      <c r="F128" s="29" t="s">
        <v>97</v>
      </c>
      <c r="G128" s="29" t="s">
        <v>54</v>
      </c>
      <c r="H128" s="27">
        <v>3</v>
      </c>
      <c r="I128" s="30">
        <v>899.99</v>
      </c>
      <c r="J128" s="29" t="s">
        <v>69</v>
      </c>
      <c r="K128" s="29" t="s">
        <v>85</v>
      </c>
      <c r="L128" s="29" t="s">
        <v>57</v>
      </c>
      <c r="M128" s="28">
        <v>45215</v>
      </c>
      <c r="N128" s="30">
        <f t="shared" si="6"/>
        <v>2699.9700000000003</v>
      </c>
      <c r="O128" s="28">
        <f t="shared" si="7"/>
        <v>45596</v>
      </c>
      <c r="P128" s="27" t="str">
        <f t="shared" si="8"/>
        <v>Oct 2024</v>
      </c>
      <c r="Q128" s="29">
        <f t="shared" ca="1" si="9"/>
        <v>746</v>
      </c>
      <c r="R128" s="29">
        <f t="shared" si="10"/>
        <v>11</v>
      </c>
      <c r="S128" s="27" t="str">
        <f t="shared" si="11"/>
        <v>GA-027</v>
      </c>
      <c r="T128" s="27" t="str">
        <f>IF(AND(K128=Lists_Filter!$J$4,G128=Lists_Filter!$J$5),COUNTIFS(K$2:K128,Lists_Filter!$J$4,G$2:G128,Lists_Filter!$J$5),"")</f>
        <v/>
      </c>
    </row>
    <row r="129" spans="1:20" x14ac:dyDescent="0.3">
      <c r="A129" s="27" t="s">
        <v>303</v>
      </c>
      <c r="B129" s="28">
        <v>45581</v>
      </c>
      <c r="C129" s="29" t="s">
        <v>206</v>
      </c>
      <c r="D129" s="29" t="s">
        <v>207</v>
      </c>
      <c r="E129" s="29" t="s">
        <v>115</v>
      </c>
      <c r="F129" s="29" t="s">
        <v>116</v>
      </c>
      <c r="G129" s="29" t="s">
        <v>54</v>
      </c>
      <c r="H129" s="27">
        <v>4</v>
      </c>
      <c r="I129" s="30">
        <v>699.99</v>
      </c>
      <c r="J129" s="29" t="s">
        <v>61</v>
      </c>
      <c r="K129" s="29" t="s">
        <v>56</v>
      </c>
      <c r="L129" s="29" t="s">
        <v>57</v>
      </c>
      <c r="M129" s="28">
        <v>45385</v>
      </c>
      <c r="N129" s="30">
        <f t="shared" si="6"/>
        <v>2799.96</v>
      </c>
      <c r="O129" s="28">
        <f t="shared" si="7"/>
        <v>45596</v>
      </c>
      <c r="P129" s="27" t="str">
        <f t="shared" si="8"/>
        <v>Oct 2024</v>
      </c>
      <c r="Q129" s="29">
        <f t="shared" ca="1" si="9"/>
        <v>744</v>
      </c>
      <c r="R129" s="29">
        <f t="shared" si="10"/>
        <v>6</v>
      </c>
      <c r="S129" s="27" t="str">
        <f t="shared" si="11"/>
        <v>RR-049</v>
      </c>
      <c r="T129" s="27" t="str">
        <f>IF(AND(K129=Lists_Filter!$J$4,G129=Lists_Filter!$J$5),COUNTIFS(K$2:K129,Lists_Filter!$J$4,G$2:G129,Lists_Filter!$J$5),"")</f>
        <v/>
      </c>
    </row>
    <row r="130" spans="1:20" x14ac:dyDescent="0.3">
      <c r="A130" s="27" t="s">
        <v>304</v>
      </c>
      <c r="B130" s="28">
        <v>45581</v>
      </c>
      <c r="C130" s="29" t="s">
        <v>131</v>
      </c>
      <c r="D130" s="29" t="s">
        <v>132</v>
      </c>
      <c r="E130" s="29" t="s">
        <v>115</v>
      </c>
      <c r="F130" s="29" t="s">
        <v>116</v>
      </c>
      <c r="G130" s="29" t="s">
        <v>54</v>
      </c>
      <c r="H130" s="27">
        <v>5</v>
      </c>
      <c r="I130" s="30">
        <v>699.99</v>
      </c>
      <c r="J130" s="29" t="s">
        <v>55</v>
      </c>
      <c r="K130" s="29" t="s">
        <v>98</v>
      </c>
      <c r="L130" s="29" t="s">
        <v>71</v>
      </c>
      <c r="M130" s="28">
        <v>45008</v>
      </c>
      <c r="N130" s="30">
        <f t="shared" ref="N130:N193" si="12">H130*I130</f>
        <v>3499.95</v>
      </c>
      <c r="O130" s="28">
        <f t="shared" ref="O130:O193" si="13">EOMONTH(B130,0)</f>
        <v>45596</v>
      </c>
      <c r="P130" s="27" t="str">
        <f t="shared" ref="P130:P193" si="14">TEXT(B130,"mmm yyyy")</f>
        <v>Oct 2024</v>
      </c>
      <c r="Q130" s="29">
        <f t="shared" ref="Q130:Q193" ca="1" si="15">TODAY()-B130</f>
        <v>744</v>
      </c>
      <c r="R130" s="29">
        <f t="shared" ref="R130:R193" si="16">IFERROR(DATEDIF(M130,B130,"m"),0)</f>
        <v>18</v>
      </c>
      <c r="S130" s="27" t="str">
        <f t="shared" ref="S130:S193" si="17">UPPER(LEFT(D130,1))&amp;UPPER(MID(D130,FIND(" ",D130)+1,1))&amp;"-"&amp;RIGHT(C130,3)</f>
        <v>BY-018</v>
      </c>
      <c r="T130" s="27" t="str">
        <f>IF(AND(K130=Lists_Filter!$J$4,G130=Lists_Filter!$J$5),COUNTIFS(K$2:K130,Lists_Filter!$J$4,G$2:G130,Lists_Filter!$J$5),"")</f>
        <v/>
      </c>
    </row>
    <row r="131" spans="1:20" x14ac:dyDescent="0.3">
      <c r="A131" s="27" t="s">
        <v>305</v>
      </c>
      <c r="B131" s="28">
        <v>45581</v>
      </c>
      <c r="C131" s="29" t="s">
        <v>186</v>
      </c>
      <c r="D131" s="29" t="s">
        <v>187</v>
      </c>
      <c r="E131" s="29" t="s">
        <v>96</v>
      </c>
      <c r="F131" s="29" t="s">
        <v>97</v>
      </c>
      <c r="G131" s="29" t="s">
        <v>54</v>
      </c>
      <c r="H131" s="27">
        <v>1</v>
      </c>
      <c r="I131" s="30">
        <v>899.99</v>
      </c>
      <c r="J131" s="29" t="s">
        <v>61</v>
      </c>
      <c r="K131" s="29" t="s">
        <v>98</v>
      </c>
      <c r="L131" s="29" t="s">
        <v>71</v>
      </c>
      <c r="M131" s="28">
        <v>45369</v>
      </c>
      <c r="N131" s="30">
        <f t="shared" si="12"/>
        <v>899.99</v>
      </c>
      <c r="O131" s="28">
        <f t="shared" si="13"/>
        <v>45596</v>
      </c>
      <c r="P131" s="27" t="str">
        <f t="shared" si="14"/>
        <v>Oct 2024</v>
      </c>
      <c r="Q131" s="29">
        <f t="shared" ca="1" si="15"/>
        <v>744</v>
      </c>
      <c r="R131" s="29">
        <f t="shared" si="16"/>
        <v>6</v>
      </c>
      <c r="S131" s="27" t="str">
        <f t="shared" si="17"/>
        <v>SB-040</v>
      </c>
      <c r="T131" s="27" t="str">
        <f>IF(AND(K131=Lists_Filter!$J$4,G131=Lists_Filter!$J$5),COUNTIFS(K$2:K131,Lists_Filter!$J$4,G$2:G131,Lists_Filter!$J$5),"")</f>
        <v/>
      </c>
    </row>
    <row r="132" spans="1:20" x14ac:dyDescent="0.3">
      <c r="A132" s="27" t="s">
        <v>306</v>
      </c>
      <c r="B132" s="28">
        <v>45583</v>
      </c>
      <c r="C132" s="29" t="s">
        <v>261</v>
      </c>
      <c r="D132" s="29" t="s">
        <v>262</v>
      </c>
      <c r="E132" s="29" t="s">
        <v>87</v>
      </c>
      <c r="F132" s="29" t="s">
        <v>88</v>
      </c>
      <c r="G132" s="29" t="s">
        <v>54</v>
      </c>
      <c r="H132" s="27">
        <v>2</v>
      </c>
      <c r="I132" s="30">
        <v>149.99</v>
      </c>
      <c r="J132" s="29" t="s">
        <v>61</v>
      </c>
      <c r="K132" s="29" t="s">
        <v>85</v>
      </c>
      <c r="L132" s="29" t="s">
        <v>57</v>
      </c>
      <c r="M132" s="28">
        <v>44916</v>
      </c>
      <c r="N132" s="30">
        <f t="shared" si="12"/>
        <v>299.98</v>
      </c>
      <c r="O132" s="28">
        <f t="shared" si="13"/>
        <v>45596</v>
      </c>
      <c r="P132" s="27" t="str">
        <f t="shared" si="14"/>
        <v>Oct 2024</v>
      </c>
      <c r="Q132" s="29">
        <f t="shared" ca="1" si="15"/>
        <v>742</v>
      </c>
      <c r="R132" s="29">
        <f t="shared" si="16"/>
        <v>21</v>
      </c>
      <c r="S132" s="27" t="str">
        <f t="shared" si="17"/>
        <v>LR-039</v>
      </c>
      <c r="T132" s="27" t="str">
        <f>IF(AND(K132=Lists_Filter!$J$4,G132=Lists_Filter!$J$5),COUNTIFS(K$2:K132,Lists_Filter!$J$4,G$2:G132,Lists_Filter!$J$5),"")</f>
        <v/>
      </c>
    </row>
    <row r="133" spans="1:20" x14ac:dyDescent="0.3">
      <c r="A133" s="27" t="s">
        <v>307</v>
      </c>
      <c r="B133" s="28">
        <v>45586</v>
      </c>
      <c r="C133" s="29" t="s">
        <v>261</v>
      </c>
      <c r="D133" s="29" t="s">
        <v>262</v>
      </c>
      <c r="E133" s="29" t="s">
        <v>146</v>
      </c>
      <c r="F133" s="29" t="s">
        <v>147</v>
      </c>
      <c r="G133" s="29" t="s">
        <v>54</v>
      </c>
      <c r="H133" s="27">
        <v>3</v>
      </c>
      <c r="I133" s="30">
        <v>89.99</v>
      </c>
      <c r="J133" s="29" t="s">
        <v>69</v>
      </c>
      <c r="K133" s="29" t="s">
        <v>56</v>
      </c>
      <c r="L133" s="29" t="s">
        <v>57</v>
      </c>
      <c r="M133" s="28">
        <v>44551</v>
      </c>
      <c r="N133" s="30">
        <f t="shared" si="12"/>
        <v>269.96999999999997</v>
      </c>
      <c r="O133" s="28">
        <f t="shared" si="13"/>
        <v>45596</v>
      </c>
      <c r="P133" s="27" t="str">
        <f t="shared" si="14"/>
        <v>Oct 2024</v>
      </c>
      <c r="Q133" s="29">
        <f t="shared" ca="1" si="15"/>
        <v>739</v>
      </c>
      <c r="R133" s="29">
        <f t="shared" si="16"/>
        <v>34</v>
      </c>
      <c r="S133" s="27" t="str">
        <f t="shared" si="17"/>
        <v>LR-039</v>
      </c>
      <c r="T133" s="27" t="str">
        <f>IF(AND(K133=Lists_Filter!$J$4,G133=Lists_Filter!$J$5),COUNTIFS(K$2:K133,Lists_Filter!$J$4,G$2:G133,Lists_Filter!$J$5),"")</f>
        <v/>
      </c>
    </row>
    <row r="134" spans="1:20" x14ac:dyDescent="0.3">
      <c r="A134" s="27" t="s">
        <v>308</v>
      </c>
      <c r="B134" s="28">
        <v>45588</v>
      </c>
      <c r="C134" s="29" t="s">
        <v>189</v>
      </c>
      <c r="D134" s="29" t="s">
        <v>190</v>
      </c>
      <c r="E134" s="29" t="s">
        <v>115</v>
      </c>
      <c r="F134" s="29" t="s">
        <v>116</v>
      </c>
      <c r="G134" s="29" t="s">
        <v>54</v>
      </c>
      <c r="H134" s="27">
        <v>2</v>
      </c>
      <c r="I134" s="30">
        <v>699.99</v>
      </c>
      <c r="J134" s="29" t="s">
        <v>55</v>
      </c>
      <c r="K134" s="29" t="s">
        <v>56</v>
      </c>
      <c r="L134" s="29" t="s">
        <v>57</v>
      </c>
      <c r="M134" s="28">
        <v>44992</v>
      </c>
      <c r="N134" s="30">
        <f t="shared" si="12"/>
        <v>1399.98</v>
      </c>
      <c r="O134" s="28">
        <f t="shared" si="13"/>
        <v>45596</v>
      </c>
      <c r="P134" s="27" t="str">
        <f t="shared" si="14"/>
        <v>Oct 2024</v>
      </c>
      <c r="Q134" s="29">
        <f t="shared" ca="1" si="15"/>
        <v>737</v>
      </c>
      <c r="R134" s="29">
        <f t="shared" si="16"/>
        <v>19</v>
      </c>
      <c r="S134" s="27" t="str">
        <f t="shared" si="17"/>
        <v>SD-004</v>
      </c>
      <c r="T134" s="27" t="str">
        <f>IF(AND(K134=Lists_Filter!$J$4,G134=Lists_Filter!$J$5),COUNTIFS(K$2:K134,Lists_Filter!$J$4,G$2:G134,Lists_Filter!$J$5),"")</f>
        <v/>
      </c>
    </row>
    <row r="135" spans="1:20" x14ac:dyDescent="0.3">
      <c r="A135" s="27" t="s">
        <v>309</v>
      </c>
      <c r="B135" s="28">
        <v>45588</v>
      </c>
      <c r="C135" s="29" t="s">
        <v>73</v>
      </c>
      <c r="D135" s="29" t="s">
        <v>74</v>
      </c>
      <c r="E135" s="29" t="s">
        <v>87</v>
      </c>
      <c r="F135" s="29" t="s">
        <v>88</v>
      </c>
      <c r="G135" s="29" t="s">
        <v>54</v>
      </c>
      <c r="H135" s="27">
        <v>2</v>
      </c>
      <c r="I135" s="30">
        <v>149.99</v>
      </c>
      <c r="J135" s="29" t="s">
        <v>69</v>
      </c>
      <c r="K135" s="29" t="s">
        <v>56</v>
      </c>
      <c r="L135" s="29" t="s">
        <v>57</v>
      </c>
      <c r="M135" s="28">
        <v>44473</v>
      </c>
      <c r="N135" s="30">
        <f t="shared" si="12"/>
        <v>299.98</v>
      </c>
      <c r="O135" s="28">
        <f t="shared" si="13"/>
        <v>45596</v>
      </c>
      <c r="P135" s="27" t="str">
        <f t="shared" si="14"/>
        <v>Oct 2024</v>
      </c>
      <c r="Q135" s="29">
        <f t="shared" ca="1" si="15"/>
        <v>737</v>
      </c>
      <c r="R135" s="29">
        <f t="shared" si="16"/>
        <v>36</v>
      </c>
      <c r="S135" s="27" t="str">
        <f t="shared" si="17"/>
        <v>KB-046</v>
      </c>
      <c r="T135" s="27" t="str">
        <f>IF(AND(K135=Lists_Filter!$J$4,G135=Lists_Filter!$J$5),COUNTIFS(K$2:K135,Lists_Filter!$J$4,G$2:G135,Lists_Filter!$J$5),"")</f>
        <v/>
      </c>
    </row>
    <row r="136" spans="1:20" x14ac:dyDescent="0.3">
      <c r="A136" s="27" t="s">
        <v>310</v>
      </c>
      <c r="B136" s="28">
        <v>45589</v>
      </c>
      <c r="C136" s="29" t="s">
        <v>192</v>
      </c>
      <c r="D136" s="29" t="s">
        <v>193</v>
      </c>
      <c r="E136" s="29" t="s">
        <v>115</v>
      </c>
      <c r="F136" s="29" t="s">
        <v>116</v>
      </c>
      <c r="G136" s="29" t="s">
        <v>54</v>
      </c>
      <c r="H136" s="27">
        <v>5</v>
      </c>
      <c r="I136" s="30">
        <v>699.99</v>
      </c>
      <c r="J136" s="29" t="s">
        <v>55</v>
      </c>
      <c r="K136" s="29" t="s">
        <v>75</v>
      </c>
      <c r="L136" s="29" t="s">
        <v>62</v>
      </c>
      <c r="M136" s="28">
        <v>44635</v>
      </c>
      <c r="N136" s="30">
        <f t="shared" si="12"/>
        <v>3499.95</v>
      </c>
      <c r="O136" s="28">
        <f t="shared" si="13"/>
        <v>45596</v>
      </c>
      <c r="P136" s="27" t="str">
        <f t="shared" si="14"/>
        <v>Oct 2024</v>
      </c>
      <c r="Q136" s="29">
        <f t="shared" ca="1" si="15"/>
        <v>736</v>
      </c>
      <c r="R136" s="29">
        <f t="shared" si="16"/>
        <v>31</v>
      </c>
      <c r="S136" s="27" t="str">
        <f t="shared" si="17"/>
        <v>BC-028</v>
      </c>
      <c r="T136" s="29">
        <f>IF(AND(K136=Lists_Filter!$J$4,G136=Lists_Filter!$J$5),COUNTIFS(K$2:K136,Lists_Filter!$J$4,G$2:G136,Lists_Filter!$J$5),"")</f>
        <v>17</v>
      </c>
    </row>
    <row r="137" spans="1:20" x14ac:dyDescent="0.3">
      <c r="A137" s="27" t="s">
        <v>311</v>
      </c>
      <c r="B137" s="28">
        <v>45592</v>
      </c>
      <c r="C137" s="29" t="s">
        <v>206</v>
      </c>
      <c r="D137" s="29" t="s">
        <v>207</v>
      </c>
      <c r="E137" s="29" t="s">
        <v>146</v>
      </c>
      <c r="F137" s="29" t="s">
        <v>147</v>
      </c>
      <c r="G137" s="29" t="s">
        <v>54</v>
      </c>
      <c r="H137" s="27">
        <v>3</v>
      </c>
      <c r="I137" s="30">
        <v>89.99</v>
      </c>
      <c r="J137" s="29" t="s">
        <v>61</v>
      </c>
      <c r="K137" s="29" t="s">
        <v>75</v>
      </c>
      <c r="L137" s="29" t="s">
        <v>71</v>
      </c>
      <c r="M137" s="28">
        <v>44615</v>
      </c>
      <c r="N137" s="30">
        <f t="shared" si="12"/>
        <v>269.96999999999997</v>
      </c>
      <c r="O137" s="28">
        <f t="shared" si="13"/>
        <v>45596</v>
      </c>
      <c r="P137" s="27" t="str">
        <f t="shared" si="14"/>
        <v>Oct 2024</v>
      </c>
      <c r="Q137" s="29">
        <f t="shared" ca="1" si="15"/>
        <v>733</v>
      </c>
      <c r="R137" s="29">
        <f t="shared" si="16"/>
        <v>32</v>
      </c>
      <c r="S137" s="27" t="str">
        <f t="shared" si="17"/>
        <v>RR-049</v>
      </c>
      <c r="T137" s="29">
        <f>IF(AND(K137=Lists_Filter!$J$4,G137=Lists_Filter!$J$5),COUNTIFS(K$2:K137,Lists_Filter!$J$4,G$2:G137,Lists_Filter!$J$5),"")</f>
        <v>18</v>
      </c>
    </row>
    <row r="138" spans="1:20" x14ac:dyDescent="0.3">
      <c r="A138" s="27" t="s">
        <v>312</v>
      </c>
      <c r="B138" s="28">
        <v>45597</v>
      </c>
      <c r="C138" s="29" t="s">
        <v>50</v>
      </c>
      <c r="D138" s="29" t="s">
        <v>51</v>
      </c>
      <c r="E138" s="29" t="s">
        <v>52</v>
      </c>
      <c r="F138" s="29" t="s">
        <v>53</v>
      </c>
      <c r="G138" s="29" t="s">
        <v>54</v>
      </c>
      <c r="H138" s="27">
        <v>5</v>
      </c>
      <c r="I138" s="30">
        <v>249.99</v>
      </c>
      <c r="J138" s="29" t="s">
        <v>61</v>
      </c>
      <c r="K138" s="29" t="s">
        <v>70</v>
      </c>
      <c r="L138" s="29" t="s">
        <v>71</v>
      </c>
      <c r="M138" s="28">
        <v>44881</v>
      </c>
      <c r="N138" s="30">
        <f t="shared" si="12"/>
        <v>1249.95</v>
      </c>
      <c r="O138" s="28">
        <f t="shared" si="13"/>
        <v>45626</v>
      </c>
      <c r="P138" s="27" t="str">
        <f t="shared" si="14"/>
        <v>Nov 2024</v>
      </c>
      <c r="Q138" s="29">
        <f t="shared" ca="1" si="15"/>
        <v>728</v>
      </c>
      <c r="R138" s="29">
        <f t="shared" si="16"/>
        <v>23</v>
      </c>
      <c r="S138" s="27" t="str">
        <f t="shared" si="17"/>
        <v>PB-023</v>
      </c>
      <c r="T138" s="27" t="str">
        <f>IF(AND(K138=Lists_Filter!$J$4,G138=Lists_Filter!$J$5),COUNTIFS(K$2:K138,Lists_Filter!$J$4,G$2:G138,Lists_Filter!$J$5),"")</f>
        <v/>
      </c>
    </row>
    <row r="139" spans="1:20" x14ac:dyDescent="0.3">
      <c r="A139" s="27" t="s">
        <v>313</v>
      </c>
      <c r="B139" s="28">
        <v>45600</v>
      </c>
      <c r="C139" s="29" t="s">
        <v>103</v>
      </c>
      <c r="D139" s="29" t="s">
        <v>104</v>
      </c>
      <c r="E139" s="29" t="s">
        <v>140</v>
      </c>
      <c r="F139" s="29" t="s">
        <v>141</v>
      </c>
      <c r="G139" s="29" t="s">
        <v>81</v>
      </c>
      <c r="H139" s="27">
        <v>3</v>
      </c>
      <c r="I139" s="30">
        <v>299.99</v>
      </c>
      <c r="J139" s="29" t="s">
        <v>61</v>
      </c>
      <c r="K139" s="29" t="s">
        <v>70</v>
      </c>
      <c r="L139" s="29" t="s">
        <v>71</v>
      </c>
      <c r="M139" s="28">
        <v>44502</v>
      </c>
      <c r="N139" s="30">
        <f t="shared" si="12"/>
        <v>899.97</v>
      </c>
      <c r="O139" s="28">
        <f t="shared" si="13"/>
        <v>45626</v>
      </c>
      <c r="P139" s="27" t="str">
        <f t="shared" si="14"/>
        <v>Nov 2024</v>
      </c>
      <c r="Q139" s="29">
        <f t="shared" ca="1" si="15"/>
        <v>725</v>
      </c>
      <c r="R139" s="29">
        <f t="shared" si="16"/>
        <v>36</v>
      </c>
      <c r="S139" s="27" t="str">
        <f t="shared" si="17"/>
        <v>KH-026</v>
      </c>
      <c r="T139" s="27" t="str">
        <f>IF(AND(K139=Lists_Filter!$J$4,G139=Lists_Filter!$J$5),COUNTIFS(K$2:K139,Lists_Filter!$J$4,G$2:G139,Lists_Filter!$J$5),"")</f>
        <v/>
      </c>
    </row>
    <row r="140" spans="1:20" x14ac:dyDescent="0.3">
      <c r="A140" s="27" t="s">
        <v>314</v>
      </c>
      <c r="B140" s="28">
        <v>45603</v>
      </c>
      <c r="C140" s="29" t="s">
        <v>134</v>
      </c>
      <c r="D140" s="29" t="s">
        <v>135</v>
      </c>
      <c r="E140" s="29" t="s">
        <v>146</v>
      </c>
      <c r="F140" s="29" t="s">
        <v>147</v>
      </c>
      <c r="G140" s="29" t="s">
        <v>54</v>
      </c>
      <c r="H140" s="27">
        <v>3</v>
      </c>
      <c r="I140" s="30">
        <v>89.99</v>
      </c>
      <c r="J140" s="29" t="s">
        <v>61</v>
      </c>
      <c r="K140" s="29" t="s">
        <v>75</v>
      </c>
      <c r="L140" s="29" t="s">
        <v>62</v>
      </c>
      <c r="M140" s="28">
        <v>44420</v>
      </c>
      <c r="N140" s="30">
        <f t="shared" si="12"/>
        <v>269.96999999999997</v>
      </c>
      <c r="O140" s="28">
        <f t="shared" si="13"/>
        <v>45626</v>
      </c>
      <c r="P140" s="27" t="str">
        <f t="shared" si="14"/>
        <v>Nov 2024</v>
      </c>
      <c r="Q140" s="29">
        <f t="shared" ca="1" si="15"/>
        <v>722</v>
      </c>
      <c r="R140" s="29">
        <f t="shared" si="16"/>
        <v>38</v>
      </c>
      <c r="S140" s="27" t="str">
        <f t="shared" si="17"/>
        <v>PM-012</v>
      </c>
      <c r="T140" s="29">
        <f>IF(AND(K140=Lists_Filter!$J$4,G140=Lists_Filter!$J$5),COUNTIFS(K$2:K140,Lists_Filter!$J$4,G$2:G140,Lists_Filter!$J$5),"")</f>
        <v>19</v>
      </c>
    </row>
    <row r="141" spans="1:20" x14ac:dyDescent="0.3">
      <c r="A141" s="27" t="s">
        <v>315</v>
      </c>
      <c r="B141" s="28">
        <v>45604</v>
      </c>
      <c r="C141" s="29" t="s">
        <v>125</v>
      </c>
      <c r="D141" s="29" t="s">
        <v>126</v>
      </c>
      <c r="E141" s="29" t="s">
        <v>79</v>
      </c>
      <c r="F141" s="29" t="s">
        <v>80</v>
      </c>
      <c r="G141" s="29" t="s">
        <v>81</v>
      </c>
      <c r="H141" s="27">
        <v>2</v>
      </c>
      <c r="I141" s="30">
        <v>149.99</v>
      </c>
      <c r="J141" s="29" t="s">
        <v>61</v>
      </c>
      <c r="K141" s="29" t="s">
        <v>85</v>
      </c>
      <c r="L141" s="29" t="s">
        <v>62</v>
      </c>
      <c r="M141" s="28">
        <v>44848</v>
      </c>
      <c r="N141" s="30">
        <f t="shared" si="12"/>
        <v>299.98</v>
      </c>
      <c r="O141" s="28">
        <f t="shared" si="13"/>
        <v>45626</v>
      </c>
      <c r="P141" s="27" t="str">
        <f t="shared" si="14"/>
        <v>Nov 2024</v>
      </c>
      <c r="Q141" s="29">
        <f t="shared" ca="1" si="15"/>
        <v>721</v>
      </c>
      <c r="R141" s="29">
        <f t="shared" si="16"/>
        <v>24</v>
      </c>
      <c r="S141" s="27" t="str">
        <f t="shared" si="17"/>
        <v>MG-010</v>
      </c>
      <c r="T141" s="27" t="str">
        <f>IF(AND(K141=Lists_Filter!$J$4,G141=Lists_Filter!$J$5),COUNTIFS(K$2:K141,Lists_Filter!$J$4,G$2:G141,Lists_Filter!$J$5),"")</f>
        <v/>
      </c>
    </row>
    <row r="142" spans="1:20" x14ac:dyDescent="0.3">
      <c r="A142" s="27" t="s">
        <v>316</v>
      </c>
      <c r="B142" s="28">
        <v>45605</v>
      </c>
      <c r="C142" s="29" t="s">
        <v>220</v>
      </c>
      <c r="D142" s="29" t="s">
        <v>221</v>
      </c>
      <c r="E142" s="29" t="s">
        <v>52</v>
      </c>
      <c r="F142" s="29" t="s">
        <v>53</v>
      </c>
      <c r="G142" s="29" t="s">
        <v>54</v>
      </c>
      <c r="H142" s="27">
        <v>1</v>
      </c>
      <c r="I142" s="30">
        <v>249.99</v>
      </c>
      <c r="J142" s="29" t="s">
        <v>61</v>
      </c>
      <c r="K142" s="29" t="s">
        <v>75</v>
      </c>
      <c r="L142" s="29" t="s">
        <v>62</v>
      </c>
      <c r="M142" s="28">
        <v>44828</v>
      </c>
      <c r="N142" s="30">
        <f t="shared" si="12"/>
        <v>249.99</v>
      </c>
      <c r="O142" s="28">
        <f t="shared" si="13"/>
        <v>45626</v>
      </c>
      <c r="P142" s="27" t="str">
        <f t="shared" si="14"/>
        <v>Nov 2024</v>
      </c>
      <c r="Q142" s="29">
        <f t="shared" ca="1" si="15"/>
        <v>720</v>
      </c>
      <c r="R142" s="29">
        <f t="shared" si="16"/>
        <v>25</v>
      </c>
      <c r="S142" s="27" t="str">
        <f t="shared" si="17"/>
        <v>MW-020</v>
      </c>
      <c r="T142" s="29">
        <f>IF(AND(K142=Lists_Filter!$J$4,G142=Lists_Filter!$J$5),COUNTIFS(K$2:K142,Lists_Filter!$J$4,G$2:G142,Lists_Filter!$J$5),"")</f>
        <v>20</v>
      </c>
    </row>
    <row r="143" spans="1:20" x14ac:dyDescent="0.3">
      <c r="A143" s="27" t="s">
        <v>317</v>
      </c>
      <c r="B143" s="28">
        <v>45607</v>
      </c>
      <c r="C143" s="29" t="s">
        <v>107</v>
      </c>
      <c r="D143" s="29" t="s">
        <v>108</v>
      </c>
      <c r="E143" s="29" t="s">
        <v>87</v>
      </c>
      <c r="F143" s="29" t="s">
        <v>88</v>
      </c>
      <c r="G143" s="29" t="s">
        <v>54</v>
      </c>
      <c r="H143" s="27">
        <v>3</v>
      </c>
      <c r="I143" s="30">
        <v>149.99</v>
      </c>
      <c r="J143" s="29" t="s">
        <v>55</v>
      </c>
      <c r="K143" s="29" t="s">
        <v>75</v>
      </c>
      <c r="L143" s="29" t="s">
        <v>57</v>
      </c>
      <c r="M143" s="28">
        <v>44769</v>
      </c>
      <c r="N143" s="30">
        <f t="shared" si="12"/>
        <v>449.97</v>
      </c>
      <c r="O143" s="28">
        <f t="shared" si="13"/>
        <v>45626</v>
      </c>
      <c r="P143" s="27" t="str">
        <f t="shared" si="14"/>
        <v>Nov 2024</v>
      </c>
      <c r="Q143" s="29">
        <f t="shared" ca="1" si="15"/>
        <v>718</v>
      </c>
      <c r="R143" s="29">
        <f t="shared" si="16"/>
        <v>27</v>
      </c>
      <c r="S143" s="27" t="str">
        <f t="shared" si="17"/>
        <v>PR-041</v>
      </c>
      <c r="T143" s="29">
        <f>IF(AND(K143=Lists_Filter!$J$4,G143=Lists_Filter!$J$5),COUNTIFS(K$2:K143,Lists_Filter!$J$4,G$2:G143,Lists_Filter!$J$5),"")</f>
        <v>21</v>
      </c>
    </row>
    <row r="144" spans="1:20" x14ac:dyDescent="0.3">
      <c r="A144" s="27" t="s">
        <v>318</v>
      </c>
      <c r="B144" s="28">
        <v>45607</v>
      </c>
      <c r="C144" s="29" t="s">
        <v>134</v>
      </c>
      <c r="D144" s="29" t="s">
        <v>135</v>
      </c>
      <c r="E144" s="29" t="s">
        <v>52</v>
      </c>
      <c r="F144" s="29" t="s">
        <v>53</v>
      </c>
      <c r="G144" s="29" t="s">
        <v>54</v>
      </c>
      <c r="H144" s="27">
        <v>4</v>
      </c>
      <c r="I144" s="30">
        <v>249.99</v>
      </c>
      <c r="J144" s="29" t="s">
        <v>61</v>
      </c>
      <c r="K144" s="29" t="s">
        <v>85</v>
      </c>
      <c r="L144" s="29" t="s">
        <v>71</v>
      </c>
      <c r="M144" s="28">
        <v>44659</v>
      </c>
      <c r="N144" s="30">
        <f t="shared" si="12"/>
        <v>999.96</v>
      </c>
      <c r="O144" s="28">
        <f t="shared" si="13"/>
        <v>45626</v>
      </c>
      <c r="P144" s="27" t="str">
        <f t="shared" si="14"/>
        <v>Nov 2024</v>
      </c>
      <c r="Q144" s="29">
        <f t="shared" ca="1" si="15"/>
        <v>718</v>
      </c>
      <c r="R144" s="29">
        <f t="shared" si="16"/>
        <v>31</v>
      </c>
      <c r="S144" s="27" t="str">
        <f t="shared" si="17"/>
        <v>PM-012</v>
      </c>
      <c r="T144" s="27" t="str">
        <f>IF(AND(K144=Lists_Filter!$J$4,G144=Lists_Filter!$J$5),COUNTIFS(K$2:K144,Lists_Filter!$J$4,G$2:G144,Lists_Filter!$J$5),"")</f>
        <v/>
      </c>
    </row>
    <row r="145" spans="1:20" x14ac:dyDescent="0.3">
      <c r="A145" s="27" t="s">
        <v>319</v>
      </c>
      <c r="B145" s="28">
        <v>45607</v>
      </c>
      <c r="C145" s="29" t="s">
        <v>50</v>
      </c>
      <c r="D145" s="29" t="s">
        <v>51</v>
      </c>
      <c r="E145" s="29" t="s">
        <v>66</v>
      </c>
      <c r="F145" s="29" t="s">
        <v>67</v>
      </c>
      <c r="G145" s="29" t="s">
        <v>68</v>
      </c>
      <c r="H145" s="27">
        <v>5</v>
      </c>
      <c r="I145" s="30">
        <v>59.99</v>
      </c>
      <c r="J145" s="29" t="s">
        <v>69</v>
      </c>
      <c r="K145" s="29" t="s">
        <v>85</v>
      </c>
      <c r="L145" s="29" t="s">
        <v>62</v>
      </c>
      <c r="M145" s="28">
        <v>44694</v>
      </c>
      <c r="N145" s="30">
        <f t="shared" si="12"/>
        <v>299.95</v>
      </c>
      <c r="O145" s="28">
        <f t="shared" si="13"/>
        <v>45626</v>
      </c>
      <c r="P145" s="27" t="str">
        <f t="shared" si="14"/>
        <v>Nov 2024</v>
      </c>
      <c r="Q145" s="29">
        <f t="shared" ca="1" si="15"/>
        <v>718</v>
      </c>
      <c r="R145" s="29">
        <f t="shared" si="16"/>
        <v>29</v>
      </c>
      <c r="S145" s="27" t="str">
        <f t="shared" si="17"/>
        <v>PB-023</v>
      </c>
      <c r="T145" s="27" t="str">
        <f>IF(AND(K145=Lists_Filter!$J$4,G145=Lists_Filter!$J$5),COUNTIFS(K$2:K145,Lists_Filter!$J$4,G$2:G145,Lists_Filter!$J$5),"")</f>
        <v/>
      </c>
    </row>
    <row r="146" spans="1:20" x14ac:dyDescent="0.3">
      <c r="A146" s="27" t="s">
        <v>320</v>
      </c>
      <c r="B146" s="28">
        <v>45608</v>
      </c>
      <c r="C146" s="29" t="s">
        <v>118</v>
      </c>
      <c r="D146" s="29" t="s">
        <v>119</v>
      </c>
      <c r="E146" s="29" t="s">
        <v>66</v>
      </c>
      <c r="F146" s="29" t="s">
        <v>67</v>
      </c>
      <c r="G146" s="29" t="s">
        <v>68</v>
      </c>
      <c r="H146" s="27">
        <v>3</v>
      </c>
      <c r="I146" s="30">
        <v>59.99</v>
      </c>
      <c r="J146" s="29" t="s">
        <v>92</v>
      </c>
      <c r="K146" s="29" t="s">
        <v>70</v>
      </c>
      <c r="L146" s="29" t="s">
        <v>71</v>
      </c>
      <c r="M146" s="28">
        <v>45260</v>
      </c>
      <c r="N146" s="30">
        <f t="shared" si="12"/>
        <v>179.97</v>
      </c>
      <c r="O146" s="28">
        <f t="shared" si="13"/>
        <v>45626</v>
      </c>
      <c r="P146" s="27" t="str">
        <f t="shared" si="14"/>
        <v>Nov 2024</v>
      </c>
      <c r="Q146" s="29">
        <f t="shared" ca="1" si="15"/>
        <v>717</v>
      </c>
      <c r="R146" s="29">
        <f t="shared" si="16"/>
        <v>11</v>
      </c>
      <c r="S146" s="27" t="str">
        <f t="shared" si="17"/>
        <v>GA-027</v>
      </c>
      <c r="T146" s="27" t="str">
        <f>IF(AND(K146=Lists_Filter!$J$4,G146=Lists_Filter!$J$5),COUNTIFS(K$2:K146,Lists_Filter!$J$4,G$2:G146,Lists_Filter!$J$5),"")</f>
        <v/>
      </c>
    </row>
    <row r="147" spans="1:20" x14ac:dyDescent="0.3">
      <c r="A147" s="27" t="s">
        <v>321</v>
      </c>
      <c r="B147" s="28">
        <v>45608</v>
      </c>
      <c r="C147" s="29" t="s">
        <v>189</v>
      </c>
      <c r="D147" s="29" t="s">
        <v>190</v>
      </c>
      <c r="E147" s="29" t="s">
        <v>79</v>
      </c>
      <c r="F147" s="29" t="s">
        <v>80</v>
      </c>
      <c r="G147" s="29" t="s">
        <v>81</v>
      </c>
      <c r="H147" s="27">
        <v>5</v>
      </c>
      <c r="I147" s="30">
        <v>149.99</v>
      </c>
      <c r="J147" s="29" t="s">
        <v>69</v>
      </c>
      <c r="K147" s="29" t="s">
        <v>56</v>
      </c>
      <c r="L147" s="29" t="s">
        <v>57</v>
      </c>
      <c r="M147" s="28">
        <v>44901</v>
      </c>
      <c r="N147" s="30">
        <f t="shared" si="12"/>
        <v>749.95</v>
      </c>
      <c r="O147" s="28">
        <f t="shared" si="13"/>
        <v>45626</v>
      </c>
      <c r="P147" s="27" t="str">
        <f t="shared" si="14"/>
        <v>Nov 2024</v>
      </c>
      <c r="Q147" s="29">
        <f t="shared" ca="1" si="15"/>
        <v>717</v>
      </c>
      <c r="R147" s="29">
        <f t="shared" si="16"/>
        <v>23</v>
      </c>
      <c r="S147" s="27" t="str">
        <f t="shared" si="17"/>
        <v>SD-004</v>
      </c>
      <c r="T147" s="27" t="str">
        <f>IF(AND(K147=Lists_Filter!$J$4,G147=Lists_Filter!$J$5),COUNTIFS(K$2:K147,Lists_Filter!$J$4,G$2:G147,Lists_Filter!$J$5),"")</f>
        <v/>
      </c>
    </row>
    <row r="148" spans="1:20" x14ac:dyDescent="0.3">
      <c r="A148" s="27" t="s">
        <v>322</v>
      </c>
      <c r="B148" s="28">
        <v>45613</v>
      </c>
      <c r="C148" s="29" t="s">
        <v>121</v>
      </c>
      <c r="D148" s="29" t="s">
        <v>122</v>
      </c>
      <c r="E148" s="29" t="s">
        <v>115</v>
      </c>
      <c r="F148" s="29" t="s">
        <v>116</v>
      </c>
      <c r="G148" s="29" t="s">
        <v>54</v>
      </c>
      <c r="H148" s="27">
        <v>2</v>
      </c>
      <c r="I148" s="30">
        <v>699.99</v>
      </c>
      <c r="J148" s="29" t="s">
        <v>69</v>
      </c>
      <c r="K148" s="29" t="s">
        <v>85</v>
      </c>
      <c r="L148" s="29" t="s">
        <v>71</v>
      </c>
      <c r="M148" s="28">
        <v>44770</v>
      </c>
      <c r="N148" s="30">
        <f t="shared" si="12"/>
        <v>1399.98</v>
      </c>
      <c r="O148" s="28">
        <f t="shared" si="13"/>
        <v>45626</v>
      </c>
      <c r="P148" s="27" t="str">
        <f t="shared" si="14"/>
        <v>Nov 2024</v>
      </c>
      <c r="Q148" s="29">
        <f t="shared" ca="1" si="15"/>
        <v>712</v>
      </c>
      <c r="R148" s="29">
        <f t="shared" si="16"/>
        <v>27</v>
      </c>
      <c r="S148" s="27" t="str">
        <f t="shared" si="17"/>
        <v>MC-025</v>
      </c>
      <c r="T148" s="27" t="str">
        <f>IF(AND(K148=Lists_Filter!$J$4,G148=Lists_Filter!$J$5),COUNTIFS(K$2:K148,Lists_Filter!$J$4,G$2:G148,Lists_Filter!$J$5),"")</f>
        <v/>
      </c>
    </row>
    <row r="149" spans="1:20" x14ac:dyDescent="0.3">
      <c r="A149" s="27" t="s">
        <v>323</v>
      </c>
      <c r="B149" s="28">
        <v>45613</v>
      </c>
      <c r="C149" s="29" t="s">
        <v>269</v>
      </c>
      <c r="D149" s="29" t="s">
        <v>270</v>
      </c>
      <c r="E149" s="29" t="s">
        <v>79</v>
      </c>
      <c r="F149" s="29" t="s">
        <v>80</v>
      </c>
      <c r="G149" s="29" t="s">
        <v>81</v>
      </c>
      <c r="H149" s="27">
        <v>5</v>
      </c>
      <c r="I149" s="30">
        <v>149.99</v>
      </c>
      <c r="J149" s="29" t="s">
        <v>55</v>
      </c>
      <c r="K149" s="29" t="s">
        <v>75</v>
      </c>
      <c r="L149" s="29" t="s">
        <v>57</v>
      </c>
      <c r="M149" s="28">
        <v>44869</v>
      </c>
      <c r="N149" s="30">
        <f t="shared" si="12"/>
        <v>749.95</v>
      </c>
      <c r="O149" s="28">
        <f t="shared" si="13"/>
        <v>45626</v>
      </c>
      <c r="P149" s="27" t="str">
        <f t="shared" si="14"/>
        <v>Nov 2024</v>
      </c>
      <c r="Q149" s="29">
        <f t="shared" ca="1" si="15"/>
        <v>712</v>
      </c>
      <c r="R149" s="29">
        <f t="shared" si="16"/>
        <v>24</v>
      </c>
      <c r="S149" s="27" t="str">
        <f t="shared" si="17"/>
        <v>SP-032</v>
      </c>
      <c r="T149" s="27" t="str">
        <f>IF(AND(K149=Lists_Filter!$J$4,G149=Lists_Filter!$J$5),COUNTIFS(K$2:K149,Lists_Filter!$J$4,G$2:G149,Lists_Filter!$J$5),"")</f>
        <v/>
      </c>
    </row>
    <row r="150" spans="1:20" x14ac:dyDescent="0.3">
      <c r="A150" s="27" t="s">
        <v>324</v>
      </c>
      <c r="B150" s="28">
        <v>45617</v>
      </c>
      <c r="C150" s="29" t="s">
        <v>161</v>
      </c>
      <c r="D150" s="29" t="s">
        <v>162</v>
      </c>
      <c r="E150" s="29" t="s">
        <v>158</v>
      </c>
      <c r="F150" s="29" t="s">
        <v>159</v>
      </c>
      <c r="G150" s="29" t="s">
        <v>81</v>
      </c>
      <c r="H150" s="27">
        <v>4</v>
      </c>
      <c r="I150" s="30">
        <v>199.99</v>
      </c>
      <c r="J150" s="29" t="s">
        <v>92</v>
      </c>
      <c r="K150" s="29" t="s">
        <v>56</v>
      </c>
      <c r="L150" s="29" t="s">
        <v>62</v>
      </c>
      <c r="M150" s="28">
        <v>44427</v>
      </c>
      <c r="N150" s="30">
        <f t="shared" si="12"/>
        <v>799.96</v>
      </c>
      <c r="O150" s="28">
        <f t="shared" si="13"/>
        <v>45626</v>
      </c>
      <c r="P150" s="27" t="str">
        <f t="shared" si="14"/>
        <v>Nov 2024</v>
      </c>
      <c r="Q150" s="29">
        <f t="shared" ca="1" si="15"/>
        <v>708</v>
      </c>
      <c r="R150" s="29">
        <f t="shared" si="16"/>
        <v>39</v>
      </c>
      <c r="S150" s="27" t="str">
        <f t="shared" si="17"/>
        <v>EM-029</v>
      </c>
      <c r="T150" s="27" t="str">
        <f>IF(AND(K150=Lists_Filter!$J$4,G150=Lists_Filter!$J$5),COUNTIFS(K$2:K150,Lists_Filter!$J$4,G$2:G150,Lists_Filter!$J$5),"")</f>
        <v/>
      </c>
    </row>
    <row r="151" spans="1:20" x14ac:dyDescent="0.3">
      <c r="A151" s="27" t="s">
        <v>325</v>
      </c>
      <c r="B151" s="28">
        <v>45619</v>
      </c>
      <c r="C151" s="29" t="s">
        <v>227</v>
      </c>
      <c r="D151" s="29" t="s">
        <v>228</v>
      </c>
      <c r="E151" s="29" t="s">
        <v>66</v>
      </c>
      <c r="F151" s="29" t="s">
        <v>67</v>
      </c>
      <c r="G151" s="29" t="s">
        <v>68</v>
      </c>
      <c r="H151" s="27">
        <v>1</v>
      </c>
      <c r="I151" s="30">
        <v>59.99</v>
      </c>
      <c r="J151" s="29" t="s">
        <v>92</v>
      </c>
      <c r="K151" s="29" t="s">
        <v>85</v>
      </c>
      <c r="L151" s="29" t="s">
        <v>71</v>
      </c>
      <c r="M151" s="28">
        <v>44560</v>
      </c>
      <c r="N151" s="30">
        <f t="shared" si="12"/>
        <v>59.99</v>
      </c>
      <c r="O151" s="28">
        <f t="shared" si="13"/>
        <v>45626</v>
      </c>
      <c r="P151" s="27" t="str">
        <f t="shared" si="14"/>
        <v>Nov 2024</v>
      </c>
      <c r="Q151" s="29">
        <f t="shared" ca="1" si="15"/>
        <v>706</v>
      </c>
      <c r="R151" s="29">
        <f t="shared" si="16"/>
        <v>34</v>
      </c>
      <c r="S151" s="27" t="str">
        <f t="shared" si="17"/>
        <v>FT-033</v>
      </c>
      <c r="T151" s="27" t="str">
        <f>IF(AND(K151=Lists_Filter!$J$4,G151=Lists_Filter!$J$5),COUNTIFS(K$2:K151,Lists_Filter!$J$4,G$2:G151,Lists_Filter!$J$5),"")</f>
        <v/>
      </c>
    </row>
    <row r="152" spans="1:20" x14ac:dyDescent="0.3">
      <c r="A152" s="27" t="s">
        <v>326</v>
      </c>
      <c r="B152" s="28">
        <v>45619</v>
      </c>
      <c r="C152" s="29" t="s">
        <v>189</v>
      </c>
      <c r="D152" s="29" t="s">
        <v>190</v>
      </c>
      <c r="E152" s="29" t="s">
        <v>115</v>
      </c>
      <c r="F152" s="29" t="s">
        <v>116</v>
      </c>
      <c r="G152" s="29" t="s">
        <v>54</v>
      </c>
      <c r="H152" s="27">
        <v>3</v>
      </c>
      <c r="I152" s="30">
        <v>699.99</v>
      </c>
      <c r="J152" s="29" t="s">
        <v>69</v>
      </c>
      <c r="K152" s="29" t="s">
        <v>85</v>
      </c>
      <c r="L152" s="29" t="s">
        <v>71</v>
      </c>
      <c r="M152" s="28">
        <v>44583</v>
      </c>
      <c r="N152" s="30">
        <f t="shared" si="12"/>
        <v>2099.9700000000003</v>
      </c>
      <c r="O152" s="28">
        <f t="shared" si="13"/>
        <v>45626</v>
      </c>
      <c r="P152" s="27" t="str">
        <f t="shared" si="14"/>
        <v>Nov 2024</v>
      </c>
      <c r="Q152" s="29">
        <f t="shared" ca="1" si="15"/>
        <v>706</v>
      </c>
      <c r="R152" s="29">
        <f t="shared" si="16"/>
        <v>34</v>
      </c>
      <c r="S152" s="27" t="str">
        <f t="shared" si="17"/>
        <v>SD-004</v>
      </c>
      <c r="T152" s="27" t="str">
        <f>IF(AND(K152=Lists_Filter!$J$4,G152=Lists_Filter!$J$5),COUNTIFS(K$2:K152,Lists_Filter!$J$4,G$2:G152,Lists_Filter!$J$5),"")</f>
        <v/>
      </c>
    </row>
    <row r="153" spans="1:20" x14ac:dyDescent="0.3">
      <c r="A153" s="27" t="s">
        <v>327</v>
      </c>
      <c r="B153" s="28">
        <v>45622</v>
      </c>
      <c r="C153" s="29" t="s">
        <v>328</v>
      </c>
      <c r="D153" s="29" t="s">
        <v>329</v>
      </c>
      <c r="E153" s="29" t="s">
        <v>52</v>
      </c>
      <c r="F153" s="29" t="s">
        <v>53</v>
      </c>
      <c r="G153" s="29" t="s">
        <v>54</v>
      </c>
      <c r="H153" s="27">
        <v>5</v>
      </c>
      <c r="I153" s="30">
        <v>249.99</v>
      </c>
      <c r="J153" s="29" t="s">
        <v>61</v>
      </c>
      <c r="K153" s="29" t="s">
        <v>75</v>
      </c>
      <c r="L153" s="29" t="s">
        <v>57</v>
      </c>
      <c r="M153" s="28">
        <v>44873</v>
      </c>
      <c r="N153" s="30">
        <f t="shared" si="12"/>
        <v>1249.95</v>
      </c>
      <c r="O153" s="28">
        <f t="shared" si="13"/>
        <v>45626</v>
      </c>
      <c r="P153" s="27" t="str">
        <f t="shared" si="14"/>
        <v>Nov 2024</v>
      </c>
      <c r="Q153" s="29">
        <f t="shared" ca="1" si="15"/>
        <v>703</v>
      </c>
      <c r="R153" s="29">
        <f t="shared" si="16"/>
        <v>24</v>
      </c>
      <c r="S153" s="27" t="str">
        <f t="shared" si="17"/>
        <v>DW-045</v>
      </c>
      <c r="T153" s="29">
        <f>IF(AND(K153=Lists_Filter!$J$4,G153=Lists_Filter!$J$5),COUNTIFS(K$2:K153,Lists_Filter!$J$4,G$2:G153,Lists_Filter!$J$5),"")</f>
        <v>22</v>
      </c>
    </row>
    <row r="154" spans="1:20" x14ac:dyDescent="0.3">
      <c r="A154" s="27" t="s">
        <v>330</v>
      </c>
      <c r="B154" s="28">
        <v>45623</v>
      </c>
      <c r="C154" s="29" t="s">
        <v>150</v>
      </c>
      <c r="D154" s="29" t="s">
        <v>151</v>
      </c>
      <c r="E154" s="29" t="s">
        <v>79</v>
      </c>
      <c r="F154" s="29" t="s">
        <v>80</v>
      </c>
      <c r="G154" s="29" t="s">
        <v>81</v>
      </c>
      <c r="H154" s="27">
        <v>2</v>
      </c>
      <c r="I154" s="30">
        <v>149.99</v>
      </c>
      <c r="J154" s="29" t="s">
        <v>55</v>
      </c>
      <c r="K154" s="29" t="s">
        <v>70</v>
      </c>
      <c r="L154" s="29" t="s">
        <v>71</v>
      </c>
      <c r="M154" s="28">
        <v>45101</v>
      </c>
      <c r="N154" s="30">
        <f t="shared" si="12"/>
        <v>299.98</v>
      </c>
      <c r="O154" s="28">
        <f t="shared" si="13"/>
        <v>45626</v>
      </c>
      <c r="P154" s="27" t="str">
        <f t="shared" si="14"/>
        <v>Nov 2024</v>
      </c>
      <c r="Q154" s="29">
        <f t="shared" ca="1" si="15"/>
        <v>702</v>
      </c>
      <c r="R154" s="29">
        <f t="shared" si="16"/>
        <v>17</v>
      </c>
      <c r="S154" s="27" t="str">
        <f t="shared" si="17"/>
        <v>LM-014</v>
      </c>
      <c r="T154" s="27" t="str">
        <f>IF(AND(K154=Lists_Filter!$J$4,G154=Lists_Filter!$J$5),COUNTIFS(K$2:K154,Lists_Filter!$J$4,G$2:G154,Lists_Filter!$J$5),"")</f>
        <v/>
      </c>
    </row>
    <row r="155" spans="1:20" x14ac:dyDescent="0.3">
      <c r="A155" s="27" t="s">
        <v>331</v>
      </c>
      <c r="B155" s="28">
        <v>45627</v>
      </c>
      <c r="C155" s="29" t="s">
        <v>64</v>
      </c>
      <c r="D155" s="29" t="s">
        <v>65</v>
      </c>
      <c r="E155" s="29" t="s">
        <v>140</v>
      </c>
      <c r="F155" s="29" t="s">
        <v>141</v>
      </c>
      <c r="G155" s="29" t="s">
        <v>81</v>
      </c>
      <c r="H155" s="27">
        <v>3</v>
      </c>
      <c r="I155" s="30">
        <v>299.99</v>
      </c>
      <c r="J155" s="29" t="s">
        <v>55</v>
      </c>
      <c r="K155" s="29" t="s">
        <v>70</v>
      </c>
      <c r="L155" s="29" t="s">
        <v>62</v>
      </c>
      <c r="M155" s="28">
        <v>44659</v>
      </c>
      <c r="N155" s="30">
        <f t="shared" si="12"/>
        <v>899.97</v>
      </c>
      <c r="O155" s="28">
        <f t="shared" si="13"/>
        <v>45657</v>
      </c>
      <c r="P155" s="27" t="str">
        <f t="shared" si="14"/>
        <v>Dec 2024</v>
      </c>
      <c r="Q155" s="29">
        <f t="shared" ca="1" si="15"/>
        <v>698</v>
      </c>
      <c r="R155" s="29">
        <f t="shared" si="16"/>
        <v>31</v>
      </c>
      <c r="S155" s="27" t="str">
        <f t="shared" si="17"/>
        <v>KS-021</v>
      </c>
      <c r="T155" s="27" t="str">
        <f>IF(AND(K155=Lists_Filter!$J$4,G155=Lists_Filter!$J$5),COUNTIFS(K$2:K155,Lists_Filter!$J$4,G$2:G155,Lists_Filter!$J$5),"")</f>
        <v/>
      </c>
    </row>
    <row r="156" spans="1:20" x14ac:dyDescent="0.3">
      <c r="A156" s="27" t="s">
        <v>332</v>
      </c>
      <c r="B156" s="28">
        <v>45627</v>
      </c>
      <c r="C156" s="29" t="s">
        <v>90</v>
      </c>
      <c r="D156" s="29" t="s">
        <v>91</v>
      </c>
      <c r="E156" s="29" t="s">
        <v>52</v>
      </c>
      <c r="F156" s="29" t="s">
        <v>53</v>
      </c>
      <c r="G156" s="29" t="s">
        <v>54</v>
      </c>
      <c r="H156" s="27">
        <v>5</v>
      </c>
      <c r="I156" s="30">
        <v>249.99</v>
      </c>
      <c r="J156" s="29" t="s">
        <v>55</v>
      </c>
      <c r="K156" s="29" t="s">
        <v>56</v>
      </c>
      <c r="L156" s="29" t="s">
        <v>62</v>
      </c>
      <c r="M156" s="28">
        <v>44485</v>
      </c>
      <c r="N156" s="30">
        <f t="shared" si="12"/>
        <v>1249.95</v>
      </c>
      <c r="O156" s="28">
        <f t="shared" si="13"/>
        <v>45657</v>
      </c>
      <c r="P156" s="27" t="str">
        <f t="shared" si="14"/>
        <v>Dec 2024</v>
      </c>
      <c r="Q156" s="29">
        <f t="shared" ca="1" si="15"/>
        <v>698</v>
      </c>
      <c r="R156" s="29">
        <f t="shared" si="16"/>
        <v>37</v>
      </c>
      <c r="S156" s="27" t="str">
        <f t="shared" si="17"/>
        <v>CA-017</v>
      </c>
      <c r="T156" s="27" t="str">
        <f>IF(AND(K156=Lists_Filter!$J$4,G156=Lists_Filter!$J$5),COUNTIFS(K$2:K156,Lists_Filter!$J$4,G$2:G156,Lists_Filter!$J$5),"")</f>
        <v/>
      </c>
    </row>
    <row r="157" spans="1:20" x14ac:dyDescent="0.3">
      <c r="A157" s="27" t="s">
        <v>333</v>
      </c>
      <c r="B157" s="28">
        <v>45627</v>
      </c>
      <c r="C157" s="29" t="s">
        <v>59</v>
      </c>
      <c r="D157" s="29" t="s">
        <v>60</v>
      </c>
      <c r="E157" s="29" t="s">
        <v>87</v>
      </c>
      <c r="F157" s="29" t="s">
        <v>88</v>
      </c>
      <c r="G157" s="29" t="s">
        <v>54</v>
      </c>
      <c r="H157" s="27">
        <v>2</v>
      </c>
      <c r="I157" s="30">
        <v>149.99</v>
      </c>
      <c r="J157" s="29" t="s">
        <v>55</v>
      </c>
      <c r="K157" s="29" t="s">
        <v>70</v>
      </c>
      <c r="L157" s="29" t="s">
        <v>62</v>
      </c>
      <c r="M157" s="28">
        <v>44475</v>
      </c>
      <c r="N157" s="30">
        <f t="shared" si="12"/>
        <v>299.98</v>
      </c>
      <c r="O157" s="28">
        <f t="shared" si="13"/>
        <v>45657</v>
      </c>
      <c r="P157" s="27" t="str">
        <f t="shared" si="14"/>
        <v>Dec 2024</v>
      </c>
      <c r="Q157" s="29">
        <f t="shared" ca="1" si="15"/>
        <v>698</v>
      </c>
      <c r="R157" s="29">
        <f t="shared" si="16"/>
        <v>37</v>
      </c>
      <c r="S157" s="27" t="str">
        <f t="shared" si="17"/>
        <v>JJ-013</v>
      </c>
      <c r="T157" s="27" t="str">
        <f>IF(AND(K157=Lists_Filter!$J$4,G157=Lists_Filter!$J$5),COUNTIFS(K$2:K157,Lists_Filter!$J$4,G$2:G157,Lists_Filter!$J$5),"")</f>
        <v/>
      </c>
    </row>
    <row r="158" spans="1:20" x14ac:dyDescent="0.3">
      <c r="A158" s="27" t="s">
        <v>334</v>
      </c>
      <c r="B158" s="28">
        <v>45627</v>
      </c>
      <c r="C158" s="29" t="s">
        <v>121</v>
      </c>
      <c r="D158" s="29" t="s">
        <v>122</v>
      </c>
      <c r="E158" s="29" t="s">
        <v>115</v>
      </c>
      <c r="F158" s="29" t="s">
        <v>116</v>
      </c>
      <c r="G158" s="29" t="s">
        <v>54</v>
      </c>
      <c r="H158" s="27">
        <v>5</v>
      </c>
      <c r="I158" s="30">
        <v>699.99</v>
      </c>
      <c r="J158" s="29" t="s">
        <v>92</v>
      </c>
      <c r="K158" s="29" t="s">
        <v>85</v>
      </c>
      <c r="L158" s="29" t="s">
        <v>71</v>
      </c>
      <c r="M158" s="28">
        <v>44944</v>
      </c>
      <c r="N158" s="30">
        <f t="shared" si="12"/>
        <v>3499.95</v>
      </c>
      <c r="O158" s="28">
        <f t="shared" si="13"/>
        <v>45657</v>
      </c>
      <c r="P158" s="27" t="str">
        <f t="shared" si="14"/>
        <v>Dec 2024</v>
      </c>
      <c r="Q158" s="29">
        <f t="shared" ca="1" si="15"/>
        <v>698</v>
      </c>
      <c r="R158" s="29">
        <f t="shared" si="16"/>
        <v>22</v>
      </c>
      <c r="S158" s="27" t="str">
        <f t="shared" si="17"/>
        <v>MC-025</v>
      </c>
      <c r="T158" s="27" t="str">
        <f>IF(AND(K158=Lists_Filter!$J$4,G158=Lists_Filter!$J$5),COUNTIFS(K$2:K158,Lists_Filter!$J$4,G$2:G158,Lists_Filter!$J$5),"")</f>
        <v/>
      </c>
    </row>
    <row r="159" spans="1:20" x14ac:dyDescent="0.3">
      <c r="A159" s="27" t="s">
        <v>335</v>
      </c>
      <c r="B159" s="28">
        <v>45629</v>
      </c>
      <c r="C159" s="29" t="s">
        <v>287</v>
      </c>
      <c r="D159" s="29" t="s">
        <v>288</v>
      </c>
      <c r="E159" s="29" t="s">
        <v>52</v>
      </c>
      <c r="F159" s="29" t="s">
        <v>53</v>
      </c>
      <c r="G159" s="29" t="s">
        <v>54</v>
      </c>
      <c r="H159" s="27">
        <v>4</v>
      </c>
      <c r="I159" s="30">
        <v>249.99</v>
      </c>
      <c r="J159" s="29" t="s">
        <v>69</v>
      </c>
      <c r="K159" s="29" t="s">
        <v>98</v>
      </c>
      <c r="L159" s="29" t="s">
        <v>62</v>
      </c>
      <c r="M159" s="28">
        <v>45098</v>
      </c>
      <c r="N159" s="30">
        <f t="shared" si="12"/>
        <v>999.96</v>
      </c>
      <c r="O159" s="28">
        <f t="shared" si="13"/>
        <v>45657</v>
      </c>
      <c r="P159" s="27" t="str">
        <f t="shared" si="14"/>
        <v>Dec 2024</v>
      </c>
      <c r="Q159" s="29">
        <f t="shared" ca="1" si="15"/>
        <v>696</v>
      </c>
      <c r="R159" s="29">
        <f t="shared" si="16"/>
        <v>17</v>
      </c>
      <c r="S159" s="27" t="str">
        <f t="shared" si="17"/>
        <v>WW-011</v>
      </c>
      <c r="T159" s="27" t="str">
        <f>IF(AND(K159=Lists_Filter!$J$4,G159=Lists_Filter!$J$5),COUNTIFS(K$2:K159,Lists_Filter!$J$4,G$2:G159,Lists_Filter!$J$5),"")</f>
        <v/>
      </c>
    </row>
    <row r="160" spans="1:20" x14ac:dyDescent="0.3">
      <c r="A160" s="27" t="s">
        <v>336</v>
      </c>
      <c r="B160" s="28">
        <v>45630</v>
      </c>
      <c r="C160" s="29" t="s">
        <v>83</v>
      </c>
      <c r="D160" s="29" t="s">
        <v>84</v>
      </c>
      <c r="E160" s="29" t="s">
        <v>115</v>
      </c>
      <c r="F160" s="29" t="s">
        <v>116</v>
      </c>
      <c r="G160" s="29" t="s">
        <v>54</v>
      </c>
      <c r="H160" s="27">
        <v>4</v>
      </c>
      <c r="I160" s="30">
        <v>699.99</v>
      </c>
      <c r="J160" s="29" t="s">
        <v>61</v>
      </c>
      <c r="K160" s="29" t="s">
        <v>75</v>
      </c>
      <c r="L160" s="29" t="s">
        <v>62</v>
      </c>
      <c r="M160" s="28">
        <v>44703</v>
      </c>
      <c r="N160" s="30">
        <f t="shared" si="12"/>
        <v>2799.96</v>
      </c>
      <c r="O160" s="28">
        <f t="shared" si="13"/>
        <v>45657</v>
      </c>
      <c r="P160" s="27" t="str">
        <f t="shared" si="14"/>
        <v>Dec 2024</v>
      </c>
      <c r="Q160" s="29">
        <f t="shared" ca="1" si="15"/>
        <v>695</v>
      </c>
      <c r="R160" s="29">
        <f t="shared" si="16"/>
        <v>30</v>
      </c>
      <c r="S160" s="27" t="str">
        <f t="shared" si="17"/>
        <v>DN-024</v>
      </c>
      <c r="T160" s="29">
        <f>IF(AND(K160=Lists_Filter!$J$4,G160=Lists_Filter!$J$5),COUNTIFS(K$2:K160,Lists_Filter!$J$4,G$2:G160,Lists_Filter!$J$5),"")</f>
        <v>23</v>
      </c>
    </row>
    <row r="161" spans="1:20" x14ac:dyDescent="0.3">
      <c r="A161" s="27" t="s">
        <v>337</v>
      </c>
      <c r="B161" s="28">
        <v>45635</v>
      </c>
      <c r="C161" s="29" t="s">
        <v>176</v>
      </c>
      <c r="D161" s="29" t="s">
        <v>177</v>
      </c>
      <c r="E161" s="29" t="s">
        <v>152</v>
      </c>
      <c r="F161" s="29" t="s">
        <v>153</v>
      </c>
      <c r="G161" s="29" t="s">
        <v>68</v>
      </c>
      <c r="H161" s="27">
        <v>4</v>
      </c>
      <c r="I161" s="30">
        <v>79.989999999999995</v>
      </c>
      <c r="J161" s="29" t="s">
        <v>92</v>
      </c>
      <c r="K161" s="29" t="s">
        <v>98</v>
      </c>
      <c r="L161" s="29" t="s">
        <v>71</v>
      </c>
      <c r="M161" s="28">
        <v>44921</v>
      </c>
      <c r="N161" s="30">
        <f t="shared" si="12"/>
        <v>319.95999999999998</v>
      </c>
      <c r="O161" s="28">
        <f t="shared" si="13"/>
        <v>45657</v>
      </c>
      <c r="P161" s="27" t="str">
        <f t="shared" si="14"/>
        <v>Dec 2024</v>
      </c>
      <c r="Q161" s="29">
        <f t="shared" ca="1" si="15"/>
        <v>690</v>
      </c>
      <c r="R161" s="29">
        <f t="shared" si="16"/>
        <v>23</v>
      </c>
      <c r="S161" s="27" t="str">
        <f t="shared" si="17"/>
        <v>JT-008</v>
      </c>
      <c r="T161" s="27" t="str">
        <f>IF(AND(K161=Lists_Filter!$J$4,G161=Lists_Filter!$J$5),COUNTIFS(K$2:K161,Lists_Filter!$J$4,G$2:G161,Lists_Filter!$J$5),"")</f>
        <v/>
      </c>
    </row>
    <row r="162" spans="1:20" x14ac:dyDescent="0.3">
      <c r="A162" s="27" t="s">
        <v>338</v>
      </c>
      <c r="B162" s="28">
        <v>45635</v>
      </c>
      <c r="C162" s="29" t="s">
        <v>339</v>
      </c>
      <c r="D162" s="29" t="s">
        <v>340</v>
      </c>
      <c r="E162" s="29" t="s">
        <v>66</v>
      </c>
      <c r="F162" s="29" t="s">
        <v>67</v>
      </c>
      <c r="G162" s="29" t="s">
        <v>68</v>
      </c>
      <c r="H162" s="27">
        <v>3</v>
      </c>
      <c r="I162" s="30">
        <v>59.99</v>
      </c>
      <c r="J162" s="29" t="s">
        <v>55</v>
      </c>
      <c r="K162" s="29" t="s">
        <v>56</v>
      </c>
      <c r="L162" s="29" t="s">
        <v>62</v>
      </c>
      <c r="M162" s="28">
        <v>45052</v>
      </c>
      <c r="N162" s="30">
        <f t="shared" si="12"/>
        <v>179.97</v>
      </c>
      <c r="O162" s="28">
        <f t="shared" si="13"/>
        <v>45657</v>
      </c>
      <c r="P162" s="27" t="str">
        <f t="shared" si="14"/>
        <v>Dec 2024</v>
      </c>
      <c r="Q162" s="29">
        <f t="shared" ca="1" si="15"/>
        <v>690</v>
      </c>
      <c r="R162" s="29">
        <f t="shared" si="16"/>
        <v>19</v>
      </c>
      <c r="S162" s="27" t="str">
        <f t="shared" si="17"/>
        <v>JJ-005</v>
      </c>
      <c r="T162" s="27" t="str">
        <f>IF(AND(K162=Lists_Filter!$J$4,G162=Lists_Filter!$J$5),COUNTIFS(K$2:K162,Lists_Filter!$J$4,G$2:G162,Lists_Filter!$J$5),"")</f>
        <v/>
      </c>
    </row>
    <row r="163" spans="1:20" x14ac:dyDescent="0.3">
      <c r="A163" s="27" t="s">
        <v>341</v>
      </c>
      <c r="B163" s="28">
        <v>45635</v>
      </c>
      <c r="C163" s="29" t="s">
        <v>143</v>
      </c>
      <c r="D163" s="29" t="s">
        <v>144</v>
      </c>
      <c r="E163" s="29" t="s">
        <v>52</v>
      </c>
      <c r="F163" s="29" t="s">
        <v>53</v>
      </c>
      <c r="G163" s="29" t="s">
        <v>54</v>
      </c>
      <c r="H163" s="27">
        <v>2</v>
      </c>
      <c r="I163" s="30">
        <v>249.99</v>
      </c>
      <c r="J163" s="29" t="s">
        <v>61</v>
      </c>
      <c r="K163" s="29" t="s">
        <v>56</v>
      </c>
      <c r="L163" s="29" t="s">
        <v>62</v>
      </c>
      <c r="M163" s="28">
        <v>44396</v>
      </c>
      <c r="N163" s="30">
        <f t="shared" si="12"/>
        <v>499.98</v>
      </c>
      <c r="O163" s="28">
        <f t="shared" si="13"/>
        <v>45657</v>
      </c>
      <c r="P163" s="27" t="str">
        <f t="shared" si="14"/>
        <v>Dec 2024</v>
      </c>
      <c r="Q163" s="29">
        <f t="shared" ca="1" si="15"/>
        <v>690</v>
      </c>
      <c r="R163" s="29">
        <f t="shared" si="16"/>
        <v>40</v>
      </c>
      <c r="S163" s="27" t="str">
        <f t="shared" si="17"/>
        <v>NC-036</v>
      </c>
      <c r="T163" s="27" t="str">
        <f>IF(AND(K163=Lists_Filter!$J$4,G163=Lists_Filter!$J$5),COUNTIFS(K$2:K163,Lists_Filter!$J$4,G$2:G163,Lists_Filter!$J$5),"")</f>
        <v/>
      </c>
    </row>
    <row r="164" spans="1:20" x14ac:dyDescent="0.3">
      <c r="A164" s="27" t="s">
        <v>342</v>
      </c>
      <c r="B164" s="28">
        <v>45636</v>
      </c>
      <c r="C164" s="29" t="s">
        <v>155</v>
      </c>
      <c r="D164" s="29" t="s">
        <v>156</v>
      </c>
      <c r="E164" s="29" t="s">
        <v>152</v>
      </c>
      <c r="F164" s="29" t="s">
        <v>153</v>
      </c>
      <c r="G164" s="29" t="s">
        <v>68</v>
      </c>
      <c r="H164" s="27">
        <v>3</v>
      </c>
      <c r="I164" s="30">
        <v>79.989999999999995</v>
      </c>
      <c r="J164" s="29" t="s">
        <v>92</v>
      </c>
      <c r="K164" s="29" t="s">
        <v>98</v>
      </c>
      <c r="L164" s="29" t="s">
        <v>71</v>
      </c>
      <c r="M164" s="28">
        <v>44779</v>
      </c>
      <c r="N164" s="30">
        <f t="shared" si="12"/>
        <v>239.96999999999997</v>
      </c>
      <c r="O164" s="28">
        <f t="shared" si="13"/>
        <v>45657</v>
      </c>
      <c r="P164" s="27" t="str">
        <f t="shared" si="14"/>
        <v>Dec 2024</v>
      </c>
      <c r="Q164" s="29">
        <f t="shared" ca="1" si="15"/>
        <v>689</v>
      </c>
      <c r="R164" s="29">
        <f t="shared" si="16"/>
        <v>28</v>
      </c>
      <c r="S164" s="27" t="str">
        <f t="shared" si="17"/>
        <v>HR-030</v>
      </c>
      <c r="T164" s="27" t="str">
        <f>IF(AND(K164=Lists_Filter!$J$4,G164=Lists_Filter!$J$5),COUNTIFS(K$2:K164,Lists_Filter!$J$4,G$2:G164,Lists_Filter!$J$5),"")</f>
        <v/>
      </c>
    </row>
    <row r="165" spans="1:20" x14ac:dyDescent="0.3">
      <c r="A165" s="27" t="s">
        <v>343</v>
      </c>
      <c r="B165" s="28">
        <v>45638</v>
      </c>
      <c r="C165" s="29" t="s">
        <v>107</v>
      </c>
      <c r="D165" s="29" t="s">
        <v>108</v>
      </c>
      <c r="E165" s="29" t="s">
        <v>96</v>
      </c>
      <c r="F165" s="29" t="s">
        <v>97</v>
      </c>
      <c r="G165" s="29" t="s">
        <v>54</v>
      </c>
      <c r="H165" s="27">
        <v>2</v>
      </c>
      <c r="I165" s="30">
        <v>899.99</v>
      </c>
      <c r="J165" s="29" t="s">
        <v>55</v>
      </c>
      <c r="K165" s="29" t="s">
        <v>75</v>
      </c>
      <c r="L165" s="29" t="s">
        <v>57</v>
      </c>
      <c r="M165" s="28">
        <v>44406</v>
      </c>
      <c r="N165" s="30">
        <f t="shared" si="12"/>
        <v>1799.98</v>
      </c>
      <c r="O165" s="28">
        <f t="shared" si="13"/>
        <v>45657</v>
      </c>
      <c r="P165" s="27" t="str">
        <f t="shared" si="14"/>
        <v>Dec 2024</v>
      </c>
      <c r="Q165" s="29">
        <f t="shared" ca="1" si="15"/>
        <v>687</v>
      </c>
      <c r="R165" s="29">
        <f t="shared" si="16"/>
        <v>40</v>
      </c>
      <c r="S165" s="27" t="str">
        <f t="shared" si="17"/>
        <v>PR-041</v>
      </c>
      <c r="T165" s="29">
        <f>IF(AND(K165=Lists_Filter!$J$4,G165=Lists_Filter!$J$5),COUNTIFS(K$2:K165,Lists_Filter!$J$4,G$2:G165,Lists_Filter!$J$5),"")</f>
        <v>24</v>
      </c>
    </row>
    <row r="166" spans="1:20" x14ac:dyDescent="0.3">
      <c r="A166" s="27" t="s">
        <v>344</v>
      </c>
      <c r="B166" s="28">
        <v>45641</v>
      </c>
      <c r="C166" s="29" t="s">
        <v>217</v>
      </c>
      <c r="D166" s="29" t="s">
        <v>218</v>
      </c>
      <c r="E166" s="29" t="s">
        <v>79</v>
      </c>
      <c r="F166" s="29" t="s">
        <v>80</v>
      </c>
      <c r="G166" s="29" t="s">
        <v>81</v>
      </c>
      <c r="H166" s="27">
        <v>1</v>
      </c>
      <c r="I166" s="30">
        <v>149.99</v>
      </c>
      <c r="J166" s="29" t="s">
        <v>92</v>
      </c>
      <c r="K166" s="29" t="s">
        <v>98</v>
      </c>
      <c r="L166" s="29" t="s">
        <v>71</v>
      </c>
      <c r="M166" s="28">
        <v>45200</v>
      </c>
      <c r="N166" s="30">
        <f t="shared" si="12"/>
        <v>149.99</v>
      </c>
      <c r="O166" s="28">
        <f t="shared" si="13"/>
        <v>45657</v>
      </c>
      <c r="P166" s="27" t="str">
        <f t="shared" si="14"/>
        <v>Dec 2024</v>
      </c>
      <c r="Q166" s="29">
        <f t="shared" ca="1" si="15"/>
        <v>684</v>
      </c>
      <c r="R166" s="29">
        <f t="shared" si="16"/>
        <v>14</v>
      </c>
      <c r="S166" s="27" t="str">
        <f t="shared" si="17"/>
        <v>DM-007</v>
      </c>
      <c r="T166" s="27" t="str">
        <f>IF(AND(K166=Lists_Filter!$J$4,G166=Lists_Filter!$J$5),COUNTIFS(K$2:K166,Lists_Filter!$J$4,G$2:G166,Lists_Filter!$J$5),"")</f>
        <v/>
      </c>
    </row>
    <row r="167" spans="1:20" x14ac:dyDescent="0.3">
      <c r="A167" s="27" t="s">
        <v>345</v>
      </c>
      <c r="B167" s="28">
        <v>45641</v>
      </c>
      <c r="C167" s="29" t="s">
        <v>173</v>
      </c>
      <c r="D167" s="29" t="s">
        <v>174</v>
      </c>
      <c r="E167" s="29" t="s">
        <v>140</v>
      </c>
      <c r="F167" s="29" t="s">
        <v>141</v>
      </c>
      <c r="G167" s="29" t="s">
        <v>81</v>
      </c>
      <c r="H167" s="27">
        <v>2</v>
      </c>
      <c r="I167" s="30">
        <v>299.99</v>
      </c>
      <c r="J167" s="29" t="s">
        <v>55</v>
      </c>
      <c r="K167" s="29" t="s">
        <v>98</v>
      </c>
      <c r="L167" s="29" t="s">
        <v>62</v>
      </c>
      <c r="M167" s="28">
        <v>44724</v>
      </c>
      <c r="N167" s="30">
        <f t="shared" si="12"/>
        <v>599.98</v>
      </c>
      <c r="O167" s="28">
        <f t="shared" si="13"/>
        <v>45657</v>
      </c>
      <c r="P167" s="27" t="str">
        <f t="shared" si="14"/>
        <v>Dec 2024</v>
      </c>
      <c r="Q167" s="29">
        <f t="shared" ca="1" si="15"/>
        <v>684</v>
      </c>
      <c r="R167" s="29">
        <f t="shared" si="16"/>
        <v>30</v>
      </c>
      <c r="S167" s="27" t="str">
        <f t="shared" si="17"/>
        <v>ST-031</v>
      </c>
      <c r="T167" s="27" t="str">
        <f>IF(AND(K167=Lists_Filter!$J$4,G167=Lists_Filter!$J$5),COUNTIFS(K$2:K167,Lists_Filter!$J$4,G$2:G167,Lists_Filter!$J$5),"")</f>
        <v/>
      </c>
    </row>
    <row r="168" spans="1:20" x14ac:dyDescent="0.3">
      <c r="A168" s="27" t="s">
        <v>346</v>
      </c>
      <c r="B168" s="28">
        <v>45644</v>
      </c>
      <c r="C168" s="29" t="s">
        <v>167</v>
      </c>
      <c r="D168" s="29" t="s">
        <v>168</v>
      </c>
      <c r="E168" s="29" t="s">
        <v>66</v>
      </c>
      <c r="F168" s="29" t="s">
        <v>67</v>
      </c>
      <c r="G168" s="29" t="s">
        <v>68</v>
      </c>
      <c r="H168" s="27">
        <v>2</v>
      </c>
      <c r="I168" s="30">
        <v>59.99</v>
      </c>
      <c r="J168" s="29" t="s">
        <v>55</v>
      </c>
      <c r="K168" s="29" t="s">
        <v>85</v>
      </c>
      <c r="L168" s="29" t="s">
        <v>57</v>
      </c>
      <c r="M168" s="28">
        <v>45191</v>
      </c>
      <c r="N168" s="30">
        <f t="shared" si="12"/>
        <v>119.98</v>
      </c>
      <c r="O168" s="28">
        <f t="shared" si="13"/>
        <v>45657</v>
      </c>
      <c r="P168" s="27" t="str">
        <f t="shared" si="14"/>
        <v>Dec 2024</v>
      </c>
      <c r="Q168" s="29">
        <f t="shared" ca="1" si="15"/>
        <v>681</v>
      </c>
      <c r="R168" s="29">
        <f t="shared" si="16"/>
        <v>14</v>
      </c>
      <c r="S168" s="27" t="str">
        <f t="shared" si="17"/>
        <v>EW-002</v>
      </c>
      <c r="T168" s="27" t="str">
        <f>IF(AND(K168=Lists_Filter!$J$4,G168=Lists_Filter!$J$5),COUNTIFS(K$2:K168,Lists_Filter!$J$4,G$2:G168,Lists_Filter!$J$5),"")</f>
        <v/>
      </c>
    </row>
    <row r="169" spans="1:20" x14ac:dyDescent="0.3">
      <c r="A169" s="27" t="s">
        <v>347</v>
      </c>
      <c r="B169" s="28">
        <v>45645</v>
      </c>
      <c r="C169" s="29" t="s">
        <v>182</v>
      </c>
      <c r="D169" s="29" t="s">
        <v>183</v>
      </c>
      <c r="E169" s="29" t="s">
        <v>96</v>
      </c>
      <c r="F169" s="29" t="s">
        <v>97</v>
      </c>
      <c r="G169" s="29" t="s">
        <v>54</v>
      </c>
      <c r="H169" s="27">
        <v>5</v>
      </c>
      <c r="I169" s="30">
        <v>899.99</v>
      </c>
      <c r="J169" s="29" t="s">
        <v>92</v>
      </c>
      <c r="K169" s="29" t="s">
        <v>98</v>
      </c>
      <c r="L169" s="29" t="s">
        <v>71</v>
      </c>
      <c r="M169" s="28">
        <v>44625</v>
      </c>
      <c r="N169" s="30">
        <f t="shared" si="12"/>
        <v>4499.95</v>
      </c>
      <c r="O169" s="28">
        <f t="shared" si="13"/>
        <v>45657</v>
      </c>
      <c r="P169" s="27" t="str">
        <f t="shared" si="14"/>
        <v>Dec 2024</v>
      </c>
      <c r="Q169" s="29">
        <f t="shared" ca="1" si="15"/>
        <v>680</v>
      </c>
      <c r="R169" s="29">
        <f t="shared" si="16"/>
        <v>33</v>
      </c>
      <c r="S169" s="27" t="str">
        <f t="shared" si="17"/>
        <v>DK-019</v>
      </c>
      <c r="T169" s="27" t="str">
        <f>IF(AND(K169=Lists_Filter!$J$4,G169=Lists_Filter!$J$5),COUNTIFS(K$2:K169,Lists_Filter!$J$4,G$2:G169,Lists_Filter!$J$5),"")</f>
        <v/>
      </c>
    </row>
    <row r="170" spans="1:20" x14ac:dyDescent="0.3">
      <c r="A170" s="27" t="s">
        <v>348</v>
      </c>
      <c r="B170" s="28">
        <v>45645</v>
      </c>
      <c r="C170" s="29" t="s">
        <v>217</v>
      </c>
      <c r="D170" s="29" t="s">
        <v>218</v>
      </c>
      <c r="E170" s="29" t="s">
        <v>146</v>
      </c>
      <c r="F170" s="29" t="s">
        <v>147</v>
      </c>
      <c r="G170" s="29" t="s">
        <v>54</v>
      </c>
      <c r="H170" s="27">
        <v>1</v>
      </c>
      <c r="I170" s="30">
        <v>89.99</v>
      </c>
      <c r="J170" s="29" t="s">
        <v>92</v>
      </c>
      <c r="K170" s="29" t="s">
        <v>56</v>
      </c>
      <c r="L170" s="29" t="s">
        <v>71</v>
      </c>
      <c r="M170" s="28">
        <v>44760</v>
      </c>
      <c r="N170" s="30">
        <f t="shared" si="12"/>
        <v>89.99</v>
      </c>
      <c r="O170" s="28">
        <f t="shared" si="13"/>
        <v>45657</v>
      </c>
      <c r="P170" s="27" t="str">
        <f t="shared" si="14"/>
        <v>Dec 2024</v>
      </c>
      <c r="Q170" s="29">
        <f t="shared" ca="1" si="15"/>
        <v>680</v>
      </c>
      <c r="R170" s="29">
        <f t="shared" si="16"/>
        <v>29</v>
      </c>
      <c r="S170" s="27" t="str">
        <f t="shared" si="17"/>
        <v>DM-007</v>
      </c>
      <c r="T170" s="27" t="str">
        <f>IF(AND(K170=Lists_Filter!$J$4,G170=Lists_Filter!$J$5),COUNTIFS(K$2:K170,Lists_Filter!$J$4,G$2:G170,Lists_Filter!$J$5),"")</f>
        <v/>
      </c>
    </row>
    <row r="171" spans="1:20" x14ac:dyDescent="0.3">
      <c r="A171" s="27" t="s">
        <v>349</v>
      </c>
      <c r="B171" s="28">
        <v>45646</v>
      </c>
      <c r="C171" s="29" t="s">
        <v>77</v>
      </c>
      <c r="D171" s="29" t="s">
        <v>78</v>
      </c>
      <c r="E171" s="29" t="s">
        <v>79</v>
      </c>
      <c r="F171" s="29" t="s">
        <v>80</v>
      </c>
      <c r="G171" s="29" t="s">
        <v>81</v>
      </c>
      <c r="H171" s="27">
        <v>2</v>
      </c>
      <c r="I171" s="30">
        <v>149.99</v>
      </c>
      <c r="J171" s="29" t="s">
        <v>55</v>
      </c>
      <c r="K171" s="29" t="s">
        <v>70</v>
      </c>
      <c r="L171" s="29" t="s">
        <v>57</v>
      </c>
      <c r="M171" s="28">
        <v>45239</v>
      </c>
      <c r="N171" s="30">
        <f t="shared" si="12"/>
        <v>299.98</v>
      </c>
      <c r="O171" s="28">
        <f t="shared" si="13"/>
        <v>45657</v>
      </c>
      <c r="P171" s="27" t="str">
        <f t="shared" si="14"/>
        <v>Dec 2024</v>
      </c>
      <c r="Q171" s="29">
        <f t="shared" ca="1" si="15"/>
        <v>679</v>
      </c>
      <c r="R171" s="29">
        <f t="shared" si="16"/>
        <v>13</v>
      </c>
      <c r="S171" s="27" t="str">
        <f t="shared" si="17"/>
        <v>MB-003</v>
      </c>
      <c r="T171" s="27" t="str">
        <f>IF(AND(K171=Lists_Filter!$J$4,G171=Lists_Filter!$J$5),COUNTIFS(K$2:K171,Lists_Filter!$J$4,G$2:G171,Lists_Filter!$J$5),"")</f>
        <v/>
      </c>
    </row>
    <row r="172" spans="1:20" x14ac:dyDescent="0.3">
      <c r="A172" s="27" t="s">
        <v>350</v>
      </c>
      <c r="B172" s="28">
        <v>45648</v>
      </c>
      <c r="C172" s="29" t="s">
        <v>217</v>
      </c>
      <c r="D172" s="29" t="s">
        <v>218</v>
      </c>
      <c r="E172" s="29" t="s">
        <v>79</v>
      </c>
      <c r="F172" s="29" t="s">
        <v>80</v>
      </c>
      <c r="G172" s="29" t="s">
        <v>81</v>
      </c>
      <c r="H172" s="27">
        <v>3</v>
      </c>
      <c r="I172" s="30">
        <v>149.99</v>
      </c>
      <c r="J172" s="29" t="s">
        <v>92</v>
      </c>
      <c r="K172" s="29" t="s">
        <v>75</v>
      </c>
      <c r="L172" s="29" t="s">
        <v>71</v>
      </c>
      <c r="M172" s="28">
        <v>44522</v>
      </c>
      <c r="N172" s="30">
        <f t="shared" si="12"/>
        <v>449.97</v>
      </c>
      <c r="O172" s="28">
        <f t="shared" si="13"/>
        <v>45657</v>
      </c>
      <c r="P172" s="27" t="str">
        <f t="shared" si="14"/>
        <v>Dec 2024</v>
      </c>
      <c r="Q172" s="29">
        <f t="shared" ca="1" si="15"/>
        <v>677</v>
      </c>
      <c r="R172" s="29">
        <f t="shared" si="16"/>
        <v>37</v>
      </c>
      <c r="S172" s="27" t="str">
        <f t="shared" si="17"/>
        <v>DM-007</v>
      </c>
      <c r="T172" s="27" t="str">
        <f>IF(AND(K172=Lists_Filter!$J$4,G172=Lists_Filter!$J$5),COUNTIFS(K$2:K172,Lists_Filter!$J$4,G$2:G172,Lists_Filter!$J$5),"")</f>
        <v/>
      </c>
    </row>
    <row r="173" spans="1:20" x14ac:dyDescent="0.3">
      <c r="A173" s="27" t="s">
        <v>351</v>
      </c>
      <c r="B173" s="28">
        <v>45648</v>
      </c>
      <c r="C173" s="29" t="s">
        <v>150</v>
      </c>
      <c r="D173" s="29" t="s">
        <v>151</v>
      </c>
      <c r="E173" s="29" t="s">
        <v>87</v>
      </c>
      <c r="F173" s="29" t="s">
        <v>88</v>
      </c>
      <c r="G173" s="29" t="s">
        <v>54</v>
      </c>
      <c r="H173" s="27">
        <v>2</v>
      </c>
      <c r="I173" s="30">
        <v>149.99</v>
      </c>
      <c r="J173" s="29" t="s">
        <v>92</v>
      </c>
      <c r="K173" s="29" t="s">
        <v>85</v>
      </c>
      <c r="L173" s="29" t="s">
        <v>62</v>
      </c>
      <c r="M173" s="28">
        <v>45280</v>
      </c>
      <c r="N173" s="30">
        <f t="shared" si="12"/>
        <v>299.98</v>
      </c>
      <c r="O173" s="28">
        <f t="shared" si="13"/>
        <v>45657</v>
      </c>
      <c r="P173" s="27" t="str">
        <f t="shared" si="14"/>
        <v>Dec 2024</v>
      </c>
      <c r="Q173" s="29">
        <f t="shared" ca="1" si="15"/>
        <v>677</v>
      </c>
      <c r="R173" s="29">
        <f t="shared" si="16"/>
        <v>12</v>
      </c>
      <c r="S173" s="27" t="str">
        <f t="shared" si="17"/>
        <v>LM-014</v>
      </c>
      <c r="T173" s="27" t="str">
        <f>IF(AND(K173=Lists_Filter!$J$4,G173=Lists_Filter!$J$5),COUNTIFS(K$2:K173,Lists_Filter!$J$4,G$2:G173,Lists_Filter!$J$5),"")</f>
        <v/>
      </c>
    </row>
    <row r="174" spans="1:20" x14ac:dyDescent="0.3">
      <c r="A174" s="27" t="s">
        <v>352</v>
      </c>
      <c r="B174" s="28">
        <v>45649</v>
      </c>
      <c r="C174" s="29" t="s">
        <v>64</v>
      </c>
      <c r="D174" s="29" t="s">
        <v>65</v>
      </c>
      <c r="E174" s="29" t="s">
        <v>140</v>
      </c>
      <c r="F174" s="29" t="s">
        <v>141</v>
      </c>
      <c r="G174" s="29" t="s">
        <v>81</v>
      </c>
      <c r="H174" s="27">
        <v>2</v>
      </c>
      <c r="I174" s="30">
        <v>299.99</v>
      </c>
      <c r="J174" s="29" t="s">
        <v>69</v>
      </c>
      <c r="K174" s="29" t="s">
        <v>70</v>
      </c>
      <c r="L174" s="29" t="s">
        <v>57</v>
      </c>
      <c r="M174" s="28">
        <v>44721</v>
      </c>
      <c r="N174" s="30">
        <f t="shared" si="12"/>
        <v>599.98</v>
      </c>
      <c r="O174" s="28">
        <f t="shared" si="13"/>
        <v>45657</v>
      </c>
      <c r="P174" s="27" t="str">
        <f t="shared" si="14"/>
        <v>Dec 2024</v>
      </c>
      <c r="Q174" s="29">
        <f t="shared" ca="1" si="15"/>
        <v>676</v>
      </c>
      <c r="R174" s="29">
        <f t="shared" si="16"/>
        <v>30</v>
      </c>
      <c r="S174" s="27" t="str">
        <f t="shared" si="17"/>
        <v>KS-021</v>
      </c>
      <c r="T174" s="27" t="str">
        <f>IF(AND(K174=Lists_Filter!$J$4,G174=Lists_Filter!$J$5),COUNTIFS(K$2:K174,Lists_Filter!$J$4,G$2:G174,Lists_Filter!$J$5),"")</f>
        <v/>
      </c>
    </row>
    <row r="175" spans="1:20" x14ac:dyDescent="0.3">
      <c r="A175" s="27" t="s">
        <v>353</v>
      </c>
      <c r="B175" s="28">
        <v>45654</v>
      </c>
      <c r="C175" s="29" t="s">
        <v>77</v>
      </c>
      <c r="D175" s="29" t="s">
        <v>78</v>
      </c>
      <c r="E175" s="29" t="s">
        <v>140</v>
      </c>
      <c r="F175" s="29" t="s">
        <v>141</v>
      </c>
      <c r="G175" s="29" t="s">
        <v>81</v>
      </c>
      <c r="H175" s="27">
        <v>2</v>
      </c>
      <c r="I175" s="30">
        <v>299.99</v>
      </c>
      <c r="J175" s="29" t="s">
        <v>55</v>
      </c>
      <c r="K175" s="29" t="s">
        <v>85</v>
      </c>
      <c r="L175" s="29" t="s">
        <v>57</v>
      </c>
      <c r="M175" s="28">
        <v>44771</v>
      </c>
      <c r="N175" s="30">
        <f t="shared" si="12"/>
        <v>599.98</v>
      </c>
      <c r="O175" s="28">
        <f t="shared" si="13"/>
        <v>45657</v>
      </c>
      <c r="P175" s="27" t="str">
        <f t="shared" si="14"/>
        <v>Dec 2024</v>
      </c>
      <c r="Q175" s="29">
        <f t="shared" ca="1" si="15"/>
        <v>671</v>
      </c>
      <c r="R175" s="29">
        <f t="shared" si="16"/>
        <v>28</v>
      </c>
      <c r="S175" s="27" t="str">
        <f t="shared" si="17"/>
        <v>MB-003</v>
      </c>
      <c r="T175" s="27" t="str">
        <f>IF(AND(K175=Lists_Filter!$J$4,G175=Lists_Filter!$J$5),COUNTIFS(K$2:K175,Lists_Filter!$J$4,G$2:G175,Lists_Filter!$J$5),"")</f>
        <v/>
      </c>
    </row>
    <row r="176" spans="1:20" x14ac:dyDescent="0.3">
      <c r="A176" s="27" t="s">
        <v>354</v>
      </c>
      <c r="B176" s="28">
        <v>45654</v>
      </c>
      <c r="C176" s="29" t="s">
        <v>155</v>
      </c>
      <c r="D176" s="29" t="s">
        <v>156</v>
      </c>
      <c r="E176" s="29" t="s">
        <v>158</v>
      </c>
      <c r="F176" s="29" t="s">
        <v>159</v>
      </c>
      <c r="G176" s="29" t="s">
        <v>81</v>
      </c>
      <c r="H176" s="27">
        <v>4</v>
      </c>
      <c r="I176" s="30">
        <v>199.99</v>
      </c>
      <c r="J176" s="29" t="s">
        <v>61</v>
      </c>
      <c r="K176" s="29" t="s">
        <v>56</v>
      </c>
      <c r="L176" s="29" t="s">
        <v>57</v>
      </c>
      <c r="M176" s="28">
        <v>44523</v>
      </c>
      <c r="N176" s="30">
        <f t="shared" si="12"/>
        <v>799.96</v>
      </c>
      <c r="O176" s="28">
        <f t="shared" si="13"/>
        <v>45657</v>
      </c>
      <c r="P176" s="27" t="str">
        <f t="shared" si="14"/>
        <v>Dec 2024</v>
      </c>
      <c r="Q176" s="29">
        <f t="shared" ca="1" si="15"/>
        <v>671</v>
      </c>
      <c r="R176" s="29">
        <f t="shared" si="16"/>
        <v>37</v>
      </c>
      <c r="S176" s="27" t="str">
        <f t="shared" si="17"/>
        <v>HR-030</v>
      </c>
      <c r="T176" s="27" t="str">
        <f>IF(AND(K176=Lists_Filter!$J$4,G176=Lists_Filter!$J$5),COUNTIFS(K$2:K176,Lists_Filter!$J$4,G$2:G176,Lists_Filter!$J$5),"")</f>
        <v/>
      </c>
    </row>
    <row r="177" spans="1:20" x14ac:dyDescent="0.3">
      <c r="A177" s="27" t="s">
        <v>355</v>
      </c>
      <c r="B177" s="28">
        <v>45655</v>
      </c>
      <c r="C177" s="29" t="s">
        <v>143</v>
      </c>
      <c r="D177" s="29" t="s">
        <v>144</v>
      </c>
      <c r="E177" s="29" t="s">
        <v>79</v>
      </c>
      <c r="F177" s="29" t="s">
        <v>80</v>
      </c>
      <c r="G177" s="29" t="s">
        <v>81</v>
      </c>
      <c r="H177" s="27">
        <v>5</v>
      </c>
      <c r="I177" s="30">
        <v>149.99</v>
      </c>
      <c r="J177" s="29" t="s">
        <v>55</v>
      </c>
      <c r="K177" s="29" t="s">
        <v>56</v>
      </c>
      <c r="L177" s="29" t="s">
        <v>62</v>
      </c>
      <c r="M177" s="28">
        <v>45347</v>
      </c>
      <c r="N177" s="30">
        <f t="shared" si="12"/>
        <v>749.95</v>
      </c>
      <c r="O177" s="28">
        <f t="shared" si="13"/>
        <v>45657</v>
      </c>
      <c r="P177" s="27" t="str">
        <f t="shared" si="14"/>
        <v>Dec 2024</v>
      </c>
      <c r="Q177" s="29">
        <f t="shared" ca="1" si="15"/>
        <v>670</v>
      </c>
      <c r="R177" s="29">
        <f t="shared" si="16"/>
        <v>10</v>
      </c>
      <c r="S177" s="27" t="str">
        <f t="shared" si="17"/>
        <v>NC-036</v>
      </c>
      <c r="T177" s="27" t="str">
        <f>IF(AND(K177=Lists_Filter!$J$4,G177=Lists_Filter!$J$5),COUNTIFS(K$2:K177,Lists_Filter!$J$4,G$2:G177,Lists_Filter!$J$5),"")</f>
        <v/>
      </c>
    </row>
    <row r="178" spans="1:20" x14ac:dyDescent="0.3">
      <c r="A178" s="27" t="s">
        <v>356</v>
      </c>
      <c r="B178" s="28">
        <v>45655</v>
      </c>
      <c r="C178" s="29" t="s">
        <v>94</v>
      </c>
      <c r="D178" s="29" t="s">
        <v>95</v>
      </c>
      <c r="E178" s="29" t="s">
        <v>146</v>
      </c>
      <c r="F178" s="29" t="s">
        <v>147</v>
      </c>
      <c r="G178" s="29" t="s">
        <v>54</v>
      </c>
      <c r="H178" s="27">
        <v>1</v>
      </c>
      <c r="I178" s="30">
        <v>89.99</v>
      </c>
      <c r="J178" s="29" t="s">
        <v>61</v>
      </c>
      <c r="K178" s="29" t="s">
        <v>70</v>
      </c>
      <c r="L178" s="29" t="s">
        <v>62</v>
      </c>
      <c r="M178" s="28">
        <v>44591</v>
      </c>
      <c r="N178" s="30">
        <f t="shared" si="12"/>
        <v>89.99</v>
      </c>
      <c r="O178" s="28">
        <f t="shared" si="13"/>
        <v>45657</v>
      </c>
      <c r="P178" s="27" t="str">
        <f t="shared" si="14"/>
        <v>Dec 2024</v>
      </c>
      <c r="Q178" s="29">
        <f t="shared" ca="1" si="15"/>
        <v>670</v>
      </c>
      <c r="R178" s="29">
        <f t="shared" si="16"/>
        <v>34</v>
      </c>
      <c r="S178" s="27" t="str">
        <f t="shared" si="17"/>
        <v>RT-009</v>
      </c>
      <c r="T178" s="27" t="str">
        <f>IF(AND(K178=Lists_Filter!$J$4,G178=Lists_Filter!$J$5),COUNTIFS(K$2:K178,Lists_Filter!$J$4,G$2:G178,Lists_Filter!$J$5),"")</f>
        <v/>
      </c>
    </row>
    <row r="179" spans="1:20" x14ac:dyDescent="0.3">
      <c r="A179" s="27" t="s">
        <v>357</v>
      </c>
      <c r="B179" s="28">
        <v>45657</v>
      </c>
      <c r="C179" s="29" t="s">
        <v>121</v>
      </c>
      <c r="D179" s="29" t="s">
        <v>122</v>
      </c>
      <c r="E179" s="29" t="s">
        <v>96</v>
      </c>
      <c r="F179" s="29" t="s">
        <v>97</v>
      </c>
      <c r="G179" s="29" t="s">
        <v>54</v>
      </c>
      <c r="H179" s="27">
        <v>1</v>
      </c>
      <c r="I179" s="30">
        <v>899.99</v>
      </c>
      <c r="J179" s="29" t="s">
        <v>69</v>
      </c>
      <c r="K179" s="29" t="s">
        <v>75</v>
      </c>
      <c r="L179" s="29" t="s">
        <v>62</v>
      </c>
      <c r="M179" s="28">
        <v>45050</v>
      </c>
      <c r="N179" s="30">
        <f t="shared" si="12"/>
        <v>899.99</v>
      </c>
      <c r="O179" s="28">
        <f t="shared" si="13"/>
        <v>45657</v>
      </c>
      <c r="P179" s="27" t="str">
        <f t="shared" si="14"/>
        <v>Dec 2024</v>
      </c>
      <c r="Q179" s="29">
        <f t="shared" ca="1" si="15"/>
        <v>668</v>
      </c>
      <c r="R179" s="29">
        <f t="shared" si="16"/>
        <v>19</v>
      </c>
      <c r="S179" s="27" t="str">
        <f t="shared" si="17"/>
        <v>MC-025</v>
      </c>
      <c r="T179" s="29">
        <f>IF(AND(K179=Lists_Filter!$J$4,G179=Lists_Filter!$J$5),COUNTIFS(K$2:K179,Lists_Filter!$J$4,G$2:G179,Lists_Filter!$J$5),"")</f>
        <v>25</v>
      </c>
    </row>
    <row r="180" spans="1:20" x14ac:dyDescent="0.3">
      <c r="A180" s="27" t="s">
        <v>358</v>
      </c>
      <c r="B180" s="28">
        <v>45660</v>
      </c>
      <c r="C180" s="29" t="s">
        <v>182</v>
      </c>
      <c r="D180" s="29" t="s">
        <v>183</v>
      </c>
      <c r="E180" s="29" t="s">
        <v>146</v>
      </c>
      <c r="F180" s="29" t="s">
        <v>147</v>
      </c>
      <c r="G180" s="29" t="s">
        <v>54</v>
      </c>
      <c r="H180" s="27">
        <v>2</v>
      </c>
      <c r="I180" s="30">
        <v>89.99</v>
      </c>
      <c r="J180" s="29" t="s">
        <v>61</v>
      </c>
      <c r="K180" s="29" t="s">
        <v>70</v>
      </c>
      <c r="L180" s="29" t="s">
        <v>62</v>
      </c>
      <c r="M180" s="28">
        <v>44564</v>
      </c>
      <c r="N180" s="30">
        <f t="shared" si="12"/>
        <v>179.98</v>
      </c>
      <c r="O180" s="28">
        <f t="shared" si="13"/>
        <v>45688</v>
      </c>
      <c r="P180" s="27" t="str">
        <f t="shared" si="14"/>
        <v>Jan 2025</v>
      </c>
      <c r="Q180" s="29">
        <f t="shared" ca="1" si="15"/>
        <v>665</v>
      </c>
      <c r="R180" s="29">
        <f t="shared" si="16"/>
        <v>36</v>
      </c>
      <c r="S180" s="27" t="str">
        <f t="shared" si="17"/>
        <v>DK-019</v>
      </c>
      <c r="T180" s="27" t="str">
        <f>IF(AND(K180=Lists_Filter!$J$4,G180=Lists_Filter!$J$5),COUNTIFS(K$2:K180,Lists_Filter!$J$4,G$2:G180,Lists_Filter!$J$5),"")</f>
        <v/>
      </c>
    </row>
    <row r="181" spans="1:20" x14ac:dyDescent="0.3">
      <c r="A181" s="27" t="s">
        <v>359</v>
      </c>
      <c r="B181" s="28">
        <v>45661</v>
      </c>
      <c r="C181" s="29" t="s">
        <v>360</v>
      </c>
      <c r="D181" s="29" t="s">
        <v>361</v>
      </c>
      <c r="E181" s="29" t="s">
        <v>96</v>
      </c>
      <c r="F181" s="29" t="s">
        <v>97</v>
      </c>
      <c r="G181" s="29" t="s">
        <v>54</v>
      </c>
      <c r="H181" s="27">
        <v>1</v>
      </c>
      <c r="I181" s="30">
        <v>899.99</v>
      </c>
      <c r="J181" s="29" t="s">
        <v>69</v>
      </c>
      <c r="K181" s="29" t="s">
        <v>75</v>
      </c>
      <c r="L181" s="29" t="s">
        <v>71</v>
      </c>
      <c r="M181" s="28">
        <v>44752</v>
      </c>
      <c r="N181" s="30">
        <f t="shared" si="12"/>
        <v>899.99</v>
      </c>
      <c r="O181" s="28">
        <f t="shared" si="13"/>
        <v>45688</v>
      </c>
      <c r="P181" s="27" t="str">
        <f t="shared" si="14"/>
        <v>Jan 2025</v>
      </c>
      <c r="Q181" s="29">
        <f t="shared" ca="1" si="15"/>
        <v>664</v>
      </c>
      <c r="R181" s="29">
        <f t="shared" si="16"/>
        <v>29</v>
      </c>
      <c r="S181" s="27" t="str">
        <f t="shared" si="17"/>
        <v>AE-037</v>
      </c>
      <c r="T181" s="29">
        <f>IF(AND(K181=Lists_Filter!$J$4,G181=Lists_Filter!$J$5),COUNTIFS(K$2:K181,Lists_Filter!$J$4,G$2:G181,Lists_Filter!$J$5),"")</f>
        <v>26</v>
      </c>
    </row>
    <row r="182" spans="1:20" x14ac:dyDescent="0.3">
      <c r="A182" s="27" t="s">
        <v>362</v>
      </c>
      <c r="B182" s="28">
        <v>45663</v>
      </c>
      <c r="C182" s="29" t="s">
        <v>77</v>
      </c>
      <c r="D182" s="29" t="s">
        <v>78</v>
      </c>
      <c r="E182" s="29" t="s">
        <v>140</v>
      </c>
      <c r="F182" s="29" t="s">
        <v>141</v>
      </c>
      <c r="G182" s="29" t="s">
        <v>81</v>
      </c>
      <c r="H182" s="27">
        <v>3</v>
      </c>
      <c r="I182" s="30">
        <v>299.99</v>
      </c>
      <c r="J182" s="29" t="s">
        <v>55</v>
      </c>
      <c r="K182" s="29" t="s">
        <v>70</v>
      </c>
      <c r="L182" s="29" t="s">
        <v>71</v>
      </c>
      <c r="M182" s="28">
        <v>44422</v>
      </c>
      <c r="N182" s="30">
        <f t="shared" si="12"/>
        <v>899.97</v>
      </c>
      <c r="O182" s="28">
        <f t="shared" si="13"/>
        <v>45688</v>
      </c>
      <c r="P182" s="27" t="str">
        <f t="shared" si="14"/>
        <v>Jan 2025</v>
      </c>
      <c r="Q182" s="29">
        <f t="shared" ca="1" si="15"/>
        <v>662</v>
      </c>
      <c r="R182" s="29">
        <f t="shared" si="16"/>
        <v>40</v>
      </c>
      <c r="S182" s="27" t="str">
        <f t="shared" si="17"/>
        <v>MB-003</v>
      </c>
      <c r="T182" s="27" t="str">
        <f>IF(AND(K182=Lists_Filter!$J$4,G182=Lists_Filter!$J$5),COUNTIFS(K$2:K182,Lists_Filter!$J$4,G$2:G182,Lists_Filter!$J$5),"")</f>
        <v/>
      </c>
    </row>
    <row r="183" spans="1:20" x14ac:dyDescent="0.3">
      <c r="A183" s="27" t="s">
        <v>363</v>
      </c>
      <c r="B183" s="28">
        <v>45663</v>
      </c>
      <c r="C183" s="29" t="s">
        <v>164</v>
      </c>
      <c r="D183" s="29" t="s">
        <v>165</v>
      </c>
      <c r="E183" s="29" t="s">
        <v>87</v>
      </c>
      <c r="F183" s="29" t="s">
        <v>88</v>
      </c>
      <c r="G183" s="29" t="s">
        <v>54</v>
      </c>
      <c r="H183" s="27">
        <v>5</v>
      </c>
      <c r="I183" s="30">
        <v>149.99</v>
      </c>
      <c r="J183" s="29" t="s">
        <v>69</v>
      </c>
      <c r="K183" s="29" t="s">
        <v>98</v>
      </c>
      <c r="L183" s="29" t="s">
        <v>62</v>
      </c>
      <c r="M183" s="28">
        <v>44824</v>
      </c>
      <c r="N183" s="30">
        <f t="shared" si="12"/>
        <v>749.95</v>
      </c>
      <c r="O183" s="28">
        <f t="shared" si="13"/>
        <v>45688</v>
      </c>
      <c r="P183" s="27" t="str">
        <f t="shared" si="14"/>
        <v>Jan 2025</v>
      </c>
      <c r="Q183" s="29">
        <f t="shared" ca="1" si="15"/>
        <v>662</v>
      </c>
      <c r="R183" s="29">
        <f t="shared" si="16"/>
        <v>27</v>
      </c>
      <c r="S183" s="27" t="str">
        <f t="shared" si="17"/>
        <v>LA-006</v>
      </c>
      <c r="T183" s="27" t="str">
        <f>IF(AND(K183=Lists_Filter!$J$4,G183=Lists_Filter!$J$5),COUNTIFS(K$2:K183,Lists_Filter!$J$4,G$2:G183,Lists_Filter!$J$5),"")</f>
        <v/>
      </c>
    </row>
    <row r="184" spans="1:20" x14ac:dyDescent="0.3">
      <c r="A184" s="27" t="s">
        <v>364</v>
      </c>
      <c r="B184" s="28">
        <v>45666</v>
      </c>
      <c r="C184" s="29" t="s">
        <v>103</v>
      </c>
      <c r="D184" s="29" t="s">
        <v>104</v>
      </c>
      <c r="E184" s="29" t="s">
        <v>115</v>
      </c>
      <c r="F184" s="29" t="s">
        <v>116</v>
      </c>
      <c r="G184" s="29" t="s">
        <v>54</v>
      </c>
      <c r="H184" s="27">
        <v>3</v>
      </c>
      <c r="I184" s="30">
        <v>699.99</v>
      </c>
      <c r="J184" s="29" t="s">
        <v>61</v>
      </c>
      <c r="K184" s="29" t="s">
        <v>56</v>
      </c>
      <c r="L184" s="29" t="s">
        <v>62</v>
      </c>
      <c r="M184" s="28">
        <v>45105</v>
      </c>
      <c r="N184" s="30">
        <f t="shared" si="12"/>
        <v>2099.9700000000003</v>
      </c>
      <c r="O184" s="28">
        <f t="shared" si="13"/>
        <v>45688</v>
      </c>
      <c r="P184" s="27" t="str">
        <f t="shared" si="14"/>
        <v>Jan 2025</v>
      </c>
      <c r="Q184" s="29">
        <f t="shared" ca="1" si="15"/>
        <v>659</v>
      </c>
      <c r="R184" s="29">
        <f t="shared" si="16"/>
        <v>18</v>
      </c>
      <c r="S184" s="27" t="str">
        <f t="shared" si="17"/>
        <v>KH-026</v>
      </c>
      <c r="T184" s="27" t="str">
        <f>IF(AND(K184=Lists_Filter!$J$4,G184=Lists_Filter!$J$5),COUNTIFS(K$2:K184,Lists_Filter!$J$4,G$2:G184,Lists_Filter!$J$5),"")</f>
        <v/>
      </c>
    </row>
    <row r="185" spans="1:20" x14ac:dyDescent="0.3">
      <c r="A185" s="27" t="s">
        <v>365</v>
      </c>
      <c r="B185" s="28">
        <v>45667</v>
      </c>
      <c r="C185" s="29" t="s">
        <v>143</v>
      </c>
      <c r="D185" s="29" t="s">
        <v>144</v>
      </c>
      <c r="E185" s="29" t="s">
        <v>158</v>
      </c>
      <c r="F185" s="29" t="s">
        <v>159</v>
      </c>
      <c r="G185" s="29" t="s">
        <v>81</v>
      </c>
      <c r="H185" s="27">
        <v>5</v>
      </c>
      <c r="I185" s="30">
        <v>199.99</v>
      </c>
      <c r="J185" s="29" t="s">
        <v>69</v>
      </c>
      <c r="K185" s="29" t="s">
        <v>56</v>
      </c>
      <c r="L185" s="29" t="s">
        <v>71</v>
      </c>
      <c r="M185" s="28">
        <v>44633</v>
      </c>
      <c r="N185" s="30">
        <f t="shared" si="12"/>
        <v>999.95</v>
      </c>
      <c r="O185" s="28">
        <f t="shared" si="13"/>
        <v>45688</v>
      </c>
      <c r="P185" s="27" t="str">
        <f t="shared" si="14"/>
        <v>Jan 2025</v>
      </c>
      <c r="Q185" s="29">
        <f t="shared" ca="1" si="15"/>
        <v>658</v>
      </c>
      <c r="R185" s="29">
        <f t="shared" si="16"/>
        <v>33</v>
      </c>
      <c r="S185" s="27" t="str">
        <f t="shared" si="17"/>
        <v>NC-036</v>
      </c>
      <c r="T185" s="27" t="str">
        <f>IF(AND(K185=Lists_Filter!$J$4,G185=Lists_Filter!$J$5),COUNTIFS(K$2:K185,Lists_Filter!$J$4,G$2:G185,Lists_Filter!$J$5),"")</f>
        <v/>
      </c>
    </row>
    <row r="186" spans="1:20" x14ac:dyDescent="0.3">
      <c r="A186" s="27" t="s">
        <v>366</v>
      </c>
      <c r="B186" s="28">
        <v>45667</v>
      </c>
      <c r="C186" s="29" t="s">
        <v>128</v>
      </c>
      <c r="D186" s="29" t="s">
        <v>129</v>
      </c>
      <c r="E186" s="29" t="s">
        <v>52</v>
      </c>
      <c r="F186" s="29" t="s">
        <v>53</v>
      </c>
      <c r="G186" s="29" t="s">
        <v>54</v>
      </c>
      <c r="H186" s="27">
        <v>5</v>
      </c>
      <c r="I186" s="30">
        <v>249.99</v>
      </c>
      <c r="J186" s="29" t="s">
        <v>61</v>
      </c>
      <c r="K186" s="29" t="s">
        <v>70</v>
      </c>
      <c r="L186" s="29" t="s">
        <v>57</v>
      </c>
      <c r="M186" s="28">
        <v>45330</v>
      </c>
      <c r="N186" s="30">
        <f t="shared" si="12"/>
        <v>1249.95</v>
      </c>
      <c r="O186" s="28">
        <f t="shared" si="13"/>
        <v>45688</v>
      </c>
      <c r="P186" s="27" t="str">
        <f t="shared" si="14"/>
        <v>Jan 2025</v>
      </c>
      <c r="Q186" s="29">
        <f t="shared" ca="1" si="15"/>
        <v>658</v>
      </c>
      <c r="R186" s="29">
        <f t="shared" si="16"/>
        <v>11</v>
      </c>
      <c r="S186" s="27" t="str">
        <f t="shared" si="17"/>
        <v>VS-048</v>
      </c>
      <c r="T186" s="27" t="str">
        <f>IF(AND(K186=Lists_Filter!$J$4,G186=Lists_Filter!$J$5),COUNTIFS(K$2:K186,Lists_Filter!$J$4,G$2:G186,Lists_Filter!$J$5),"")</f>
        <v/>
      </c>
    </row>
    <row r="187" spans="1:20" x14ac:dyDescent="0.3">
      <c r="A187" s="27" t="s">
        <v>367</v>
      </c>
      <c r="B187" s="28">
        <v>45668</v>
      </c>
      <c r="C187" s="29" t="s">
        <v>173</v>
      </c>
      <c r="D187" s="29" t="s">
        <v>174</v>
      </c>
      <c r="E187" s="29" t="s">
        <v>87</v>
      </c>
      <c r="F187" s="29" t="s">
        <v>88</v>
      </c>
      <c r="G187" s="29" t="s">
        <v>54</v>
      </c>
      <c r="H187" s="27">
        <v>4</v>
      </c>
      <c r="I187" s="30">
        <v>149.99</v>
      </c>
      <c r="J187" s="29" t="s">
        <v>92</v>
      </c>
      <c r="K187" s="29" t="s">
        <v>98</v>
      </c>
      <c r="L187" s="29" t="s">
        <v>71</v>
      </c>
      <c r="M187" s="28">
        <v>44536</v>
      </c>
      <c r="N187" s="30">
        <f t="shared" si="12"/>
        <v>599.96</v>
      </c>
      <c r="O187" s="28">
        <f t="shared" si="13"/>
        <v>45688</v>
      </c>
      <c r="P187" s="27" t="str">
        <f t="shared" si="14"/>
        <v>Jan 2025</v>
      </c>
      <c r="Q187" s="29">
        <f t="shared" ca="1" si="15"/>
        <v>657</v>
      </c>
      <c r="R187" s="29">
        <f t="shared" si="16"/>
        <v>37</v>
      </c>
      <c r="S187" s="27" t="str">
        <f t="shared" si="17"/>
        <v>ST-031</v>
      </c>
      <c r="T187" s="27" t="str">
        <f>IF(AND(K187=Lists_Filter!$J$4,G187=Lists_Filter!$J$5),COUNTIFS(K$2:K187,Lists_Filter!$J$4,G$2:G187,Lists_Filter!$J$5),"")</f>
        <v/>
      </c>
    </row>
    <row r="188" spans="1:20" x14ac:dyDescent="0.3">
      <c r="A188" s="27" t="s">
        <v>368</v>
      </c>
      <c r="B188" s="28">
        <v>45668</v>
      </c>
      <c r="C188" s="29" t="s">
        <v>113</v>
      </c>
      <c r="D188" s="29" t="s">
        <v>114</v>
      </c>
      <c r="E188" s="29" t="s">
        <v>115</v>
      </c>
      <c r="F188" s="29" t="s">
        <v>116</v>
      </c>
      <c r="G188" s="29" t="s">
        <v>54</v>
      </c>
      <c r="H188" s="27">
        <v>3</v>
      </c>
      <c r="I188" s="30">
        <v>699.99</v>
      </c>
      <c r="J188" s="29" t="s">
        <v>55</v>
      </c>
      <c r="K188" s="29" t="s">
        <v>75</v>
      </c>
      <c r="L188" s="29" t="s">
        <v>62</v>
      </c>
      <c r="M188" s="28">
        <v>44602</v>
      </c>
      <c r="N188" s="30">
        <f t="shared" si="12"/>
        <v>2099.9700000000003</v>
      </c>
      <c r="O188" s="28">
        <f t="shared" si="13"/>
        <v>45688</v>
      </c>
      <c r="P188" s="27" t="str">
        <f t="shared" si="14"/>
        <v>Jan 2025</v>
      </c>
      <c r="Q188" s="29">
        <f t="shared" ca="1" si="15"/>
        <v>657</v>
      </c>
      <c r="R188" s="29">
        <f t="shared" si="16"/>
        <v>35</v>
      </c>
      <c r="S188" s="27" t="str">
        <f t="shared" si="17"/>
        <v>MR-038</v>
      </c>
      <c r="T188" s="29">
        <f>IF(AND(K188=Lists_Filter!$J$4,G188=Lists_Filter!$J$5),COUNTIFS(K$2:K188,Lists_Filter!$J$4,G$2:G188,Lists_Filter!$J$5),"")</f>
        <v>27</v>
      </c>
    </row>
    <row r="189" spans="1:20" x14ac:dyDescent="0.3">
      <c r="A189" s="27" t="s">
        <v>369</v>
      </c>
      <c r="B189" s="28">
        <v>45670</v>
      </c>
      <c r="C189" s="29" t="s">
        <v>121</v>
      </c>
      <c r="D189" s="29" t="s">
        <v>122</v>
      </c>
      <c r="E189" s="29" t="s">
        <v>140</v>
      </c>
      <c r="F189" s="29" t="s">
        <v>141</v>
      </c>
      <c r="G189" s="29" t="s">
        <v>81</v>
      </c>
      <c r="H189" s="27">
        <v>1</v>
      </c>
      <c r="I189" s="30">
        <v>299.99</v>
      </c>
      <c r="J189" s="29" t="s">
        <v>61</v>
      </c>
      <c r="K189" s="29" t="s">
        <v>75</v>
      </c>
      <c r="L189" s="29" t="s">
        <v>57</v>
      </c>
      <c r="M189" s="28">
        <v>44436</v>
      </c>
      <c r="N189" s="30">
        <f t="shared" si="12"/>
        <v>299.99</v>
      </c>
      <c r="O189" s="28">
        <f t="shared" si="13"/>
        <v>45688</v>
      </c>
      <c r="P189" s="27" t="str">
        <f t="shared" si="14"/>
        <v>Jan 2025</v>
      </c>
      <c r="Q189" s="29">
        <f t="shared" ca="1" si="15"/>
        <v>655</v>
      </c>
      <c r="R189" s="29">
        <f t="shared" si="16"/>
        <v>40</v>
      </c>
      <c r="S189" s="27" t="str">
        <f t="shared" si="17"/>
        <v>MC-025</v>
      </c>
      <c r="T189" s="27" t="str">
        <f>IF(AND(K189=Lists_Filter!$J$4,G189=Lists_Filter!$J$5),COUNTIFS(K$2:K189,Lists_Filter!$J$4,G$2:G189,Lists_Filter!$J$5),"")</f>
        <v/>
      </c>
    </row>
    <row r="190" spans="1:20" x14ac:dyDescent="0.3">
      <c r="A190" s="27" t="s">
        <v>370</v>
      </c>
      <c r="B190" s="28">
        <v>45670</v>
      </c>
      <c r="C190" s="29" t="s">
        <v>328</v>
      </c>
      <c r="D190" s="29" t="s">
        <v>329</v>
      </c>
      <c r="E190" s="29" t="s">
        <v>152</v>
      </c>
      <c r="F190" s="29" t="s">
        <v>153</v>
      </c>
      <c r="G190" s="29" t="s">
        <v>68</v>
      </c>
      <c r="H190" s="27">
        <v>1</v>
      </c>
      <c r="I190" s="30">
        <v>79.989999999999995</v>
      </c>
      <c r="J190" s="29" t="s">
        <v>61</v>
      </c>
      <c r="K190" s="29" t="s">
        <v>70</v>
      </c>
      <c r="L190" s="29" t="s">
        <v>57</v>
      </c>
      <c r="M190" s="28">
        <v>45322</v>
      </c>
      <c r="N190" s="30">
        <f t="shared" si="12"/>
        <v>79.989999999999995</v>
      </c>
      <c r="O190" s="28">
        <f t="shared" si="13"/>
        <v>45688</v>
      </c>
      <c r="P190" s="27" t="str">
        <f t="shared" si="14"/>
        <v>Jan 2025</v>
      </c>
      <c r="Q190" s="29">
        <f t="shared" ca="1" si="15"/>
        <v>655</v>
      </c>
      <c r="R190" s="29">
        <f t="shared" si="16"/>
        <v>11</v>
      </c>
      <c r="S190" s="27" t="str">
        <f t="shared" si="17"/>
        <v>DW-045</v>
      </c>
      <c r="T190" s="27" t="str">
        <f>IF(AND(K190=Lists_Filter!$J$4,G190=Lists_Filter!$J$5),COUNTIFS(K$2:K190,Lists_Filter!$J$4,G$2:G190,Lists_Filter!$J$5),"")</f>
        <v/>
      </c>
    </row>
    <row r="191" spans="1:20" x14ac:dyDescent="0.3">
      <c r="A191" s="27" t="s">
        <v>371</v>
      </c>
      <c r="B191" s="28">
        <v>45671</v>
      </c>
      <c r="C191" s="29" t="s">
        <v>269</v>
      </c>
      <c r="D191" s="29" t="s">
        <v>270</v>
      </c>
      <c r="E191" s="29" t="s">
        <v>140</v>
      </c>
      <c r="F191" s="29" t="s">
        <v>141</v>
      </c>
      <c r="G191" s="29" t="s">
        <v>81</v>
      </c>
      <c r="H191" s="27">
        <v>3</v>
      </c>
      <c r="I191" s="30">
        <v>299.99</v>
      </c>
      <c r="J191" s="29" t="s">
        <v>61</v>
      </c>
      <c r="K191" s="29" t="s">
        <v>70</v>
      </c>
      <c r="L191" s="29" t="s">
        <v>57</v>
      </c>
      <c r="M191" s="28">
        <v>45204</v>
      </c>
      <c r="N191" s="30">
        <f t="shared" si="12"/>
        <v>899.97</v>
      </c>
      <c r="O191" s="28">
        <f t="shared" si="13"/>
        <v>45688</v>
      </c>
      <c r="P191" s="27" t="str">
        <f t="shared" si="14"/>
        <v>Jan 2025</v>
      </c>
      <c r="Q191" s="29">
        <f t="shared" ca="1" si="15"/>
        <v>654</v>
      </c>
      <c r="R191" s="29">
        <f t="shared" si="16"/>
        <v>15</v>
      </c>
      <c r="S191" s="27" t="str">
        <f t="shared" si="17"/>
        <v>SP-032</v>
      </c>
      <c r="T191" s="27" t="str">
        <f>IF(AND(K191=Lists_Filter!$J$4,G191=Lists_Filter!$J$5),COUNTIFS(K$2:K191,Lists_Filter!$J$4,G$2:G191,Lists_Filter!$J$5),"")</f>
        <v/>
      </c>
    </row>
    <row r="192" spans="1:20" x14ac:dyDescent="0.3">
      <c r="A192" s="27" t="s">
        <v>372</v>
      </c>
      <c r="B192" s="28">
        <v>45671</v>
      </c>
      <c r="C192" s="29" t="s">
        <v>192</v>
      </c>
      <c r="D192" s="29" t="s">
        <v>193</v>
      </c>
      <c r="E192" s="29" t="s">
        <v>52</v>
      </c>
      <c r="F192" s="29" t="s">
        <v>53</v>
      </c>
      <c r="G192" s="29" t="s">
        <v>54</v>
      </c>
      <c r="H192" s="27">
        <v>4</v>
      </c>
      <c r="I192" s="30">
        <v>249.99</v>
      </c>
      <c r="J192" s="29" t="s">
        <v>61</v>
      </c>
      <c r="K192" s="29" t="s">
        <v>75</v>
      </c>
      <c r="L192" s="29" t="s">
        <v>62</v>
      </c>
      <c r="M192" s="28">
        <v>44460</v>
      </c>
      <c r="N192" s="30">
        <f t="shared" si="12"/>
        <v>999.96</v>
      </c>
      <c r="O192" s="28">
        <f t="shared" si="13"/>
        <v>45688</v>
      </c>
      <c r="P192" s="27" t="str">
        <f t="shared" si="14"/>
        <v>Jan 2025</v>
      </c>
      <c r="Q192" s="29">
        <f t="shared" ca="1" si="15"/>
        <v>654</v>
      </c>
      <c r="R192" s="29">
        <f t="shared" si="16"/>
        <v>39</v>
      </c>
      <c r="S192" s="27" t="str">
        <f t="shared" si="17"/>
        <v>BC-028</v>
      </c>
      <c r="T192" s="29">
        <f>IF(AND(K192=Lists_Filter!$J$4,G192=Lists_Filter!$J$5),COUNTIFS(K$2:K192,Lists_Filter!$J$4,G$2:G192,Lists_Filter!$J$5),"")</f>
        <v>28</v>
      </c>
    </row>
    <row r="193" spans="1:20" x14ac:dyDescent="0.3">
      <c r="A193" s="27" t="s">
        <v>373</v>
      </c>
      <c r="B193" s="28">
        <v>45671</v>
      </c>
      <c r="C193" s="29" t="s">
        <v>155</v>
      </c>
      <c r="D193" s="29" t="s">
        <v>156</v>
      </c>
      <c r="E193" s="29" t="s">
        <v>87</v>
      </c>
      <c r="F193" s="29" t="s">
        <v>88</v>
      </c>
      <c r="G193" s="29" t="s">
        <v>54</v>
      </c>
      <c r="H193" s="27">
        <v>2</v>
      </c>
      <c r="I193" s="30">
        <v>149.99</v>
      </c>
      <c r="J193" s="29" t="s">
        <v>55</v>
      </c>
      <c r="K193" s="29" t="s">
        <v>75</v>
      </c>
      <c r="L193" s="29" t="s">
        <v>71</v>
      </c>
      <c r="M193" s="28">
        <v>44913</v>
      </c>
      <c r="N193" s="30">
        <f t="shared" si="12"/>
        <v>299.98</v>
      </c>
      <c r="O193" s="28">
        <f t="shared" si="13"/>
        <v>45688</v>
      </c>
      <c r="P193" s="27" t="str">
        <f t="shared" si="14"/>
        <v>Jan 2025</v>
      </c>
      <c r="Q193" s="29">
        <f t="shared" ca="1" si="15"/>
        <v>654</v>
      </c>
      <c r="R193" s="29">
        <f t="shared" si="16"/>
        <v>24</v>
      </c>
      <c r="S193" s="27" t="str">
        <f t="shared" si="17"/>
        <v>HR-030</v>
      </c>
      <c r="T193" s="29">
        <f>IF(AND(K193=Lists_Filter!$J$4,G193=Lists_Filter!$J$5),COUNTIFS(K$2:K193,Lists_Filter!$J$4,G$2:G193,Lists_Filter!$J$5),"")</f>
        <v>29</v>
      </c>
    </row>
    <row r="194" spans="1:20" x14ac:dyDescent="0.3">
      <c r="A194" s="27" t="s">
        <v>374</v>
      </c>
      <c r="B194" s="28">
        <v>45673</v>
      </c>
      <c r="C194" s="29" t="s">
        <v>246</v>
      </c>
      <c r="D194" s="29" t="s">
        <v>247</v>
      </c>
      <c r="E194" s="29" t="s">
        <v>140</v>
      </c>
      <c r="F194" s="29" t="s">
        <v>141</v>
      </c>
      <c r="G194" s="29" t="s">
        <v>81</v>
      </c>
      <c r="H194" s="27">
        <v>5</v>
      </c>
      <c r="I194" s="30">
        <v>299.99</v>
      </c>
      <c r="J194" s="29" t="s">
        <v>92</v>
      </c>
      <c r="K194" s="29" t="s">
        <v>56</v>
      </c>
      <c r="L194" s="29" t="s">
        <v>57</v>
      </c>
      <c r="M194" s="28">
        <v>44431</v>
      </c>
      <c r="N194" s="30">
        <f t="shared" ref="N194:N251" si="18">H194*I194</f>
        <v>1499.95</v>
      </c>
      <c r="O194" s="28">
        <f t="shared" ref="O194:O251" si="19">EOMONTH(B194,0)</f>
        <v>45688</v>
      </c>
      <c r="P194" s="27" t="str">
        <f t="shared" ref="P194:P251" si="20">TEXT(B194,"mmm yyyy")</f>
        <v>Jan 2025</v>
      </c>
      <c r="Q194" s="29">
        <f t="shared" ref="Q194:Q251" ca="1" si="21">TODAY()-B194</f>
        <v>652</v>
      </c>
      <c r="R194" s="29">
        <f t="shared" ref="R194:R251" si="22">IFERROR(DATEDIF(M194,B194,"m"),0)</f>
        <v>40</v>
      </c>
      <c r="S194" s="27" t="str">
        <f t="shared" ref="S194:S251" si="23">UPPER(LEFT(D194,1))&amp;UPPER(MID(D194,FIND(" ",D194)+1,1))&amp;"-"&amp;RIGHT(C194,3)</f>
        <v>EH-016</v>
      </c>
      <c r="T194" s="27" t="str">
        <f>IF(AND(K194=Lists_Filter!$J$4,G194=Lists_Filter!$J$5),COUNTIFS(K$2:K194,Lists_Filter!$J$4,G$2:G194,Lists_Filter!$J$5),"")</f>
        <v/>
      </c>
    </row>
    <row r="195" spans="1:20" x14ac:dyDescent="0.3">
      <c r="A195" s="27" t="s">
        <v>375</v>
      </c>
      <c r="B195" s="28">
        <v>45673</v>
      </c>
      <c r="C195" s="29" t="s">
        <v>94</v>
      </c>
      <c r="D195" s="29" t="s">
        <v>95</v>
      </c>
      <c r="E195" s="29" t="s">
        <v>79</v>
      </c>
      <c r="F195" s="29" t="s">
        <v>80</v>
      </c>
      <c r="G195" s="29" t="s">
        <v>81</v>
      </c>
      <c r="H195" s="27">
        <v>3</v>
      </c>
      <c r="I195" s="30">
        <v>149.99</v>
      </c>
      <c r="J195" s="29" t="s">
        <v>61</v>
      </c>
      <c r="K195" s="29" t="s">
        <v>98</v>
      </c>
      <c r="L195" s="29" t="s">
        <v>71</v>
      </c>
      <c r="M195" s="28">
        <v>44395</v>
      </c>
      <c r="N195" s="30">
        <f t="shared" si="18"/>
        <v>449.97</v>
      </c>
      <c r="O195" s="28">
        <f t="shared" si="19"/>
        <v>45688</v>
      </c>
      <c r="P195" s="27" t="str">
        <f t="shared" si="20"/>
        <v>Jan 2025</v>
      </c>
      <c r="Q195" s="29">
        <f t="shared" ca="1" si="21"/>
        <v>652</v>
      </c>
      <c r="R195" s="29">
        <f t="shared" si="22"/>
        <v>41</v>
      </c>
      <c r="S195" s="27" t="str">
        <f t="shared" si="23"/>
        <v>RT-009</v>
      </c>
      <c r="T195" s="27" t="str">
        <f>IF(AND(K195=Lists_Filter!$J$4,G195=Lists_Filter!$J$5),COUNTIFS(K$2:K195,Lists_Filter!$J$4,G$2:G195,Lists_Filter!$J$5),"")</f>
        <v/>
      </c>
    </row>
    <row r="196" spans="1:20" x14ac:dyDescent="0.3">
      <c r="A196" s="27" t="s">
        <v>376</v>
      </c>
      <c r="B196" s="28">
        <v>45673</v>
      </c>
      <c r="C196" s="29" t="s">
        <v>261</v>
      </c>
      <c r="D196" s="29" t="s">
        <v>262</v>
      </c>
      <c r="E196" s="29" t="s">
        <v>158</v>
      </c>
      <c r="F196" s="29" t="s">
        <v>159</v>
      </c>
      <c r="G196" s="29" t="s">
        <v>81</v>
      </c>
      <c r="H196" s="27">
        <v>4</v>
      </c>
      <c r="I196" s="30">
        <v>199.99</v>
      </c>
      <c r="J196" s="29" t="s">
        <v>92</v>
      </c>
      <c r="K196" s="29" t="s">
        <v>70</v>
      </c>
      <c r="L196" s="29" t="s">
        <v>71</v>
      </c>
      <c r="M196" s="28">
        <v>44544</v>
      </c>
      <c r="N196" s="30">
        <f t="shared" si="18"/>
        <v>799.96</v>
      </c>
      <c r="O196" s="28">
        <f t="shared" si="19"/>
        <v>45688</v>
      </c>
      <c r="P196" s="27" t="str">
        <f t="shared" si="20"/>
        <v>Jan 2025</v>
      </c>
      <c r="Q196" s="29">
        <f t="shared" ca="1" si="21"/>
        <v>652</v>
      </c>
      <c r="R196" s="29">
        <f t="shared" si="22"/>
        <v>37</v>
      </c>
      <c r="S196" s="27" t="str">
        <f t="shared" si="23"/>
        <v>LR-039</v>
      </c>
      <c r="T196" s="27" t="str">
        <f>IF(AND(K196=Lists_Filter!$J$4,G196=Lists_Filter!$J$5),COUNTIFS(K$2:K196,Lists_Filter!$J$4,G$2:G196,Lists_Filter!$J$5),"")</f>
        <v/>
      </c>
    </row>
    <row r="197" spans="1:20" x14ac:dyDescent="0.3">
      <c r="A197" s="27" t="s">
        <v>377</v>
      </c>
      <c r="B197" s="28">
        <v>45676</v>
      </c>
      <c r="C197" s="29" t="s">
        <v>164</v>
      </c>
      <c r="D197" s="29" t="s">
        <v>165</v>
      </c>
      <c r="E197" s="29" t="s">
        <v>66</v>
      </c>
      <c r="F197" s="29" t="s">
        <v>67</v>
      </c>
      <c r="G197" s="29" t="s">
        <v>68</v>
      </c>
      <c r="H197" s="27">
        <v>5</v>
      </c>
      <c r="I197" s="30">
        <v>59.99</v>
      </c>
      <c r="J197" s="29" t="s">
        <v>92</v>
      </c>
      <c r="K197" s="29" t="s">
        <v>98</v>
      </c>
      <c r="L197" s="29" t="s">
        <v>57</v>
      </c>
      <c r="M197" s="28">
        <v>44642</v>
      </c>
      <c r="N197" s="30">
        <f t="shared" si="18"/>
        <v>299.95</v>
      </c>
      <c r="O197" s="28">
        <f t="shared" si="19"/>
        <v>45688</v>
      </c>
      <c r="P197" s="27" t="str">
        <f t="shared" si="20"/>
        <v>Jan 2025</v>
      </c>
      <c r="Q197" s="29">
        <f t="shared" ca="1" si="21"/>
        <v>649</v>
      </c>
      <c r="R197" s="29">
        <f t="shared" si="22"/>
        <v>33</v>
      </c>
      <c r="S197" s="27" t="str">
        <f t="shared" si="23"/>
        <v>LA-006</v>
      </c>
      <c r="T197" s="27" t="str">
        <f>IF(AND(K197=Lists_Filter!$J$4,G197=Lists_Filter!$J$5),COUNTIFS(K$2:K197,Lists_Filter!$J$4,G$2:G197,Lists_Filter!$J$5),"")</f>
        <v/>
      </c>
    </row>
    <row r="198" spans="1:20" x14ac:dyDescent="0.3">
      <c r="A198" s="27" t="s">
        <v>378</v>
      </c>
      <c r="B198" s="28">
        <v>45682</v>
      </c>
      <c r="C198" s="29" t="s">
        <v>100</v>
      </c>
      <c r="D198" s="29" t="s">
        <v>101</v>
      </c>
      <c r="E198" s="29" t="s">
        <v>66</v>
      </c>
      <c r="F198" s="29" t="s">
        <v>67</v>
      </c>
      <c r="G198" s="29" t="s">
        <v>68</v>
      </c>
      <c r="H198" s="27">
        <v>4</v>
      </c>
      <c r="I198" s="30">
        <v>59.99</v>
      </c>
      <c r="J198" s="29" t="s">
        <v>92</v>
      </c>
      <c r="K198" s="29" t="s">
        <v>98</v>
      </c>
      <c r="L198" s="29" t="s">
        <v>71</v>
      </c>
      <c r="M198" s="28">
        <v>44564</v>
      </c>
      <c r="N198" s="30">
        <f t="shared" si="18"/>
        <v>239.96</v>
      </c>
      <c r="O198" s="28">
        <f t="shared" si="19"/>
        <v>45688</v>
      </c>
      <c r="P198" s="27" t="str">
        <f t="shared" si="20"/>
        <v>Jan 2025</v>
      </c>
      <c r="Q198" s="29">
        <f t="shared" ca="1" si="21"/>
        <v>643</v>
      </c>
      <c r="R198" s="29">
        <f t="shared" si="22"/>
        <v>36</v>
      </c>
      <c r="S198" s="27" t="str">
        <f t="shared" si="23"/>
        <v>SG-022</v>
      </c>
      <c r="T198" s="27" t="str">
        <f>IF(AND(K198=Lists_Filter!$J$4,G198=Lists_Filter!$J$5),COUNTIFS(K$2:K198,Lists_Filter!$J$4,G$2:G198,Lists_Filter!$J$5),"")</f>
        <v/>
      </c>
    </row>
    <row r="199" spans="1:20" x14ac:dyDescent="0.3">
      <c r="A199" s="27" t="s">
        <v>379</v>
      </c>
      <c r="B199" s="28">
        <v>45683</v>
      </c>
      <c r="C199" s="29" t="s">
        <v>83</v>
      </c>
      <c r="D199" s="29" t="s">
        <v>84</v>
      </c>
      <c r="E199" s="29" t="s">
        <v>52</v>
      </c>
      <c r="F199" s="29" t="s">
        <v>53</v>
      </c>
      <c r="G199" s="29" t="s">
        <v>54</v>
      </c>
      <c r="H199" s="27">
        <v>4</v>
      </c>
      <c r="I199" s="30">
        <v>249.99</v>
      </c>
      <c r="J199" s="29" t="s">
        <v>92</v>
      </c>
      <c r="K199" s="29" t="s">
        <v>56</v>
      </c>
      <c r="L199" s="29" t="s">
        <v>62</v>
      </c>
      <c r="M199" s="28">
        <v>45217</v>
      </c>
      <c r="N199" s="30">
        <f t="shared" si="18"/>
        <v>999.96</v>
      </c>
      <c r="O199" s="28">
        <f t="shared" si="19"/>
        <v>45688</v>
      </c>
      <c r="P199" s="27" t="str">
        <f t="shared" si="20"/>
        <v>Jan 2025</v>
      </c>
      <c r="Q199" s="29">
        <f t="shared" ca="1" si="21"/>
        <v>642</v>
      </c>
      <c r="R199" s="29">
        <f t="shared" si="22"/>
        <v>15</v>
      </c>
      <c r="S199" s="27" t="str">
        <f t="shared" si="23"/>
        <v>DN-024</v>
      </c>
      <c r="T199" s="27" t="str">
        <f>IF(AND(K199=Lists_Filter!$J$4,G199=Lists_Filter!$J$5),COUNTIFS(K$2:K199,Lists_Filter!$J$4,G$2:G199,Lists_Filter!$J$5),"")</f>
        <v/>
      </c>
    </row>
    <row r="200" spans="1:20" x14ac:dyDescent="0.3">
      <c r="A200" s="27" t="s">
        <v>380</v>
      </c>
      <c r="B200" s="28">
        <v>45686</v>
      </c>
      <c r="C200" s="29" t="s">
        <v>287</v>
      </c>
      <c r="D200" s="29" t="s">
        <v>288</v>
      </c>
      <c r="E200" s="29" t="s">
        <v>96</v>
      </c>
      <c r="F200" s="29" t="s">
        <v>97</v>
      </c>
      <c r="G200" s="29" t="s">
        <v>54</v>
      </c>
      <c r="H200" s="27">
        <v>4</v>
      </c>
      <c r="I200" s="30">
        <v>899.99</v>
      </c>
      <c r="J200" s="29" t="s">
        <v>69</v>
      </c>
      <c r="K200" s="29" t="s">
        <v>56</v>
      </c>
      <c r="L200" s="29" t="s">
        <v>57</v>
      </c>
      <c r="M200" s="28">
        <v>44734</v>
      </c>
      <c r="N200" s="30">
        <f t="shared" si="18"/>
        <v>3599.96</v>
      </c>
      <c r="O200" s="28">
        <f t="shared" si="19"/>
        <v>45688</v>
      </c>
      <c r="P200" s="27" t="str">
        <f t="shared" si="20"/>
        <v>Jan 2025</v>
      </c>
      <c r="Q200" s="29">
        <f t="shared" ca="1" si="21"/>
        <v>639</v>
      </c>
      <c r="R200" s="29">
        <f t="shared" si="22"/>
        <v>31</v>
      </c>
      <c r="S200" s="27" t="str">
        <f t="shared" si="23"/>
        <v>WW-011</v>
      </c>
      <c r="T200" s="27" t="str">
        <f>IF(AND(K200=Lists_Filter!$J$4,G200=Lists_Filter!$J$5),COUNTIFS(K$2:K200,Lists_Filter!$J$4,G$2:G200,Lists_Filter!$J$5),"")</f>
        <v/>
      </c>
    </row>
    <row r="201" spans="1:20" x14ac:dyDescent="0.3">
      <c r="A201" s="27" t="s">
        <v>381</v>
      </c>
      <c r="B201" s="28">
        <v>45686</v>
      </c>
      <c r="C201" s="29" t="s">
        <v>121</v>
      </c>
      <c r="D201" s="29" t="s">
        <v>122</v>
      </c>
      <c r="E201" s="29" t="s">
        <v>140</v>
      </c>
      <c r="F201" s="29" t="s">
        <v>141</v>
      </c>
      <c r="G201" s="29" t="s">
        <v>81</v>
      </c>
      <c r="H201" s="27">
        <v>3</v>
      </c>
      <c r="I201" s="30">
        <v>299.99</v>
      </c>
      <c r="J201" s="29" t="s">
        <v>92</v>
      </c>
      <c r="K201" s="29" t="s">
        <v>85</v>
      </c>
      <c r="L201" s="29" t="s">
        <v>71</v>
      </c>
      <c r="M201" s="28">
        <v>44952</v>
      </c>
      <c r="N201" s="30">
        <f t="shared" si="18"/>
        <v>899.97</v>
      </c>
      <c r="O201" s="28">
        <f t="shared" si="19"/>
        <v>45688</v>
      </c>
      <c r="P201" s="27" t="str">
        <f t="shared" si="20"/>
        <v>Jan 2025</v>
      </c>
      <c r="Q201" s="29">
        <f t="shared" ca="1" si="21"/>
        <v>639</v>
      </c>
      <c r="R201" s="29">
        <f t="shared" si="22"/>
        <v>24</v>
      </c>
      <c r="S201" s="27" t="str">
        <f t="shared" si="23"/>
        <v>MC-025</v>
      </c>
      <c r="T201" s="27" t="str">
        <f>IF(AND(K201=Lists_Filter!$J$4,G201=Lists_Filter!$J$5),COUNTIFS(K$2:K201,Lists_Filter!$J$4,G$2:G201,Lists_Filter!$J$5),"")</f>
        <v/>
      </c>
    </row>
    <row r="202" spans="1:20" x14ac:dyDescent="0.3">
      <c r="A202" s="27" t="s">
        <v>382</v>
      </c>
      <c r="B202" s="28">
        <v>45686</v>
      </c>
      <c r="C202" s="29" t="s">
        <v>328</v>
      </c>
      <c r="D202" s="29" t="s">
        <v>329</v>
      </c>
      <c r="E202" s="29" t="s">
        <v>115</v>
      </c>
      <c r="F202" s="29" t="s">
        <v>116</v>
      </c>
      <c r="G202" s="29" t="s">
        <v>54</v>
      </c>
      <c r="H202" s="27">
        <v>2</v>
      </c>
      <c r="I202" s="30">
        <v>699.99</v>
      </c>
      <c r="J202" s="29" t="s">
        <v>92</v>
      </c>
      <c r="K202" s="29" t="s">
        <v>56</v>
      </c>
      <c r="L202" s="29" t="s">
        <v>62</v>
      </c>
      <c r="M202" s="28">
        <v>44681</v>
      </c>
      <c r="N202" s="30">
        <f t="shared" si="18"/>
        <v>1399.98</v>
      </c>
      <c r="O202" s="28">
        <f t="shared" si="19"/>
        <v>45688</v>
      </c>
      <c r="P202" s="27" t="str">
        <f t="shared" si="20"/>
        <v>Jan 2025</v>
      </c>
      <c r="Q202" s="29">
        <f t="shared" ca="1" si="21"/>
        <v>639</v>
      </c>
      <c r="R202" s="29">
        <f t="shared" si="22"/>
        <v>32</v>
      </c>
      <c r="S202" s="27" t="str">
        <f t="shared" si="23"/>
        <v>DW-045</v>
      </c>
      <c r="T202" s="27" t="str">
        <f>IF(AND(K202=Lists_Filter!$J$4,G202=Lists_Filter!$J$5),COUNTIFS(K$2:K202,Lists_Filter!$J$4,G$2:G202,Lists_Filter!$J$5),"")</f>
        <v/>
      </c>
    </row>
    <row r="203" spans="1:20" x14ac:dyDescent="0.3">
      <c r="A203" s="27" t="s">
        <v>383</v>
      </c>
      <c r="B203" s="28">
        <v>45688</v>
      </c>
      <c r="C203" s="29" t="s">
        <v>103</v>
      </c>
      <c r="D203" s="29" t="s">
        <v>104</v>
      </c>
      <c r="E203" s="29" t="s">
        <v>115</v>
      </c>
      <c r="F203" s="29" t="s">
        <v>116</v>
      </c>
      <c r="G203" s="29" t="s">
        <v>54</v>
      </c>
      <c r="H203" s="27">
        <v>4</v>
      </c>
      <c r="I203" s="30">
        <v>699.99</v>
      </c>
      <c r="J203" s="29" t="s">
        <v>92</v>
      </c>
      <c r="K203" s="29" t="s">
        <v>85</v>
      </c>
      <c r="L203" s="29" t="s">
        <v>62</v>
      </c>
      <c r="M203" s="28">
        <v>44692</v>
      </c>
      <c r="N203" s="30">
        <f t="shared" si="18"/>
        <v>2799.96</v>
      </c>
      <c r="O203" s="28">
        <f t="shared" si="19"/>
        <v>45688</v>
      </c>
      <c r="P203" s="27" t="str">
        <f t="shared" si="20"/>
        <v>Jan 2025</v>
      </c>
      <c r="Q203" s="29">
        <f t="shared" ca="1" si="21"/>
        <v>637</v>
      </c>
      <c r="R203" s="29">
        <f t="shared" si="22"/>
        <v>32</v>
      </c>
      <c r="S203" s="27" t="str">
        <f t="shared" si="23"/>
        <v>KH-026</v>
      </c>
      <c r="T203" s="27" t="str">
        <f>IF(AND(K203=Lists_Filter!$J$4,G203=Lists_Filter!$J$5),COUNTIFS(K$2:K203,Lists_Filter!$J$4,G$2:G203,Lists_Filter!$J$5),"")</f>
        <v/>
      </c>
    </row>
    <row r="204" spans="1:20" x14ac:dyDescent="0.3">
      <c r="A204" s="27" t="s">
        <v>384</v>
      </c>
      <c r="B204" s="28">
        <v>45688</v>
      </c>
      <c r="C204" s="29" t="s">
        <v>161</v>
      </c>
      <c r="D204" s="29" t="s">
        <v>162</v>
      </c>
      <c r="E204" s="29" t="s">
        <v>146</v>
      </c>
      <c r="F204" s="29" t="s">
        <v>147</v>
      </c>
      <c r="G204" s="29" t="s">
        <v>54</v>
      </c>
      <c r="H204" s="27">
        <v>2</v>
      </c>
      <c r="I204" s="30">
        <v>89.99</v>
      </c>
      <c r="J204" s="29" t="s">
        <v>92</v>
      </c>
      <c r="K204" s="29" t="s">
        <v>70</v>
      </c>
      <c r="L204" s="29" t="s">
        <v>57</v>
      </c>
      <c r="M204" s="28">
        <v>44777</v>
      </c>
      <c r="N204" s="30">
        <f t="shared" si="18"/>
        <v>179.98</v>
      </c>
      <c r="O204" s="28">
        <f t="shared" si="19"/>
        <v>45688</v>
      </c>
      <c r="P204" s="27" t="str">
        <f t="shared" si="20"/>
        <v>Jan 2025</v>
      </c>
      <c r="Q204" s="29">
        <f t="shared" ca="1" si="21"/>
        <v>637</v>
      </c>
      <c r="R204" s="29">
        <f t="shared" si="22"/>
        <v>29</v>
      </c>
      <c r="S204" s="27" t="str">
        <f t="shared" si="23"/>
        <v>EM-029</v>
      </c>
      <c r="T204" s="27" t="str">
        <f>IF(AND(K204=Lists_Filter!$J$4,G204=Lists_Filter!$J$5),COUNTIFS(K$2:K204,Lists_Filter!$J$4,G$2:G204,Lists_Filter!$J$5),"")</f>
        <v/>
      </c>
    </row>
    <row r="205" spans="1:20" x14ac:dyDescent="0.3">
      <c r="A205" s="27" t="s">
        <v>385</v>
      </c>
      <c r="B205" s="28">
        <v>45688</v>
      </c>
      <c r="C205" s="29" t="s">
        <v>77</v>
      </c>
      <c r="D205" s="29" t="s">
        <v>78</v>
      </c>
      <c r="E205" s="29" t="s">
        <v>146</v>
      </c>
      <c r="F205" s="29" t="s">
        <v>147</v>
      </c>
      <c r="G205" s="29" t="s">
        <v>54</v>
      </c>
      <c r="H205" s="27">
        <v>3</v>
      </c>
      <c r="I205" s="30">
        <v>89.99</v>
      </c>
      <c r="J205" s="29" t="s">
        <v>92</v>
      </c>
      <c r="K205" s="29" t="s">
        <v>70</v>
      </c>
      <c r="L205" s="29" t="s">
        <v>62</v>
      </c>
      <c r="M205" s="28">
        <v>45307</v>
      </c>
      <c r="N205" s="30">
        <f t="shared" si="18"/>
        <v>269.96999999999997</v>
      </c>
      <c r="O205" s="28">
        <f t="shared" si="19"/>
        <v>45688</v>
      </c>
      <c r="P205" s="27" t="str">
        <f t="shared" si="20"/>
        <v>Jan 2025</v>
      </c>
      <c r="Q205" s="29">
        <f t="shared" ca="1" si="21"/>
        <v>637</v>
      </c>
      <c r="R205" s="29">
        <f t="shared" si="22"/>
        <v>12</v>
      </c>
      <c r="S205" s="27" t="str">
        <f t="shared" si="23"/>
        <v>MB-003</v>
      </c>
      <c r="T205" s="27" t="str">
        <f>IF(AND(K205=Lists_Filter!$J$4,G205=Lists_Filter!$J$5),COUNTIFS(K$2:K205,Lists_Filter!$J$4,G$2:G205,Lists_Filter!$J$5),"")</f>
        <v/>
      </c>
    </row>
    <row r="206" spans="1:20" x14ac:dyDescent="0.3">
      <c r="A206" s="27" t="s">
        <v>386</v>
      </c>
      <c r="B206" s="28">
        <v>45692</v>
      </c>
      <c r="C206" s="29" t="s">
        <v>360</v>
      </c>
      <c r="D206" s="29" t="s">
        <v>361</v>
      </c>
      <c r="E206" s="29" t="s">
        <v>66</v>
      </c>
      <c r="F206" s="29" t="s">
        <v>67</v>
      </c>
      <c r="G206" s="29" t="s">
        <v>68</v>
      </c>
      <c r="H206" s="27">
        <v>1</v>
      </c>
      <c r="I206" s="30">
        <v>59.99</v>
      </c>
      <c r="J206" s="29" t="s">
        <v>92</v>
      </c>
      <c r="K206" s="29" t="s">
        <v>56</v>
      </c>
      <c r="L206" s="29" t="s">
        <v>71</v>
      </c>
      <c r="M206" s="28">
        <v>45045</v>
      </c>
      <c r="N206" s="30">
        <f t="shared" si="18"/>
        <v>59.99</v>
      </c>
      <c r="O206" s="28">
        <f t="shared" si="19"/>
        <v>45716</v>
      </c>
      <c r="P206" s="27" t="str">
        <f t="shared" si="20"/>
        <v>Feb 2025</v>
      </c>
      <c r="Q206" s="29">
        <f t="shared" ca="1" si="21"/>
        <v>633</v>
      </c>
      <c r="R206" s="29">
        <f t="shared" si="22"/>
        <v>21</v>
      </c>
      <c r="S206" s="27" t="str">
        <f t="shared" si="23"/>
        <v>AE-037</v>
      </c>
      <c r="T206" s="27" t="str">
        <f>IF(AND(K206=Lists_Filter!$J$4,G206=Lists_Filter!$J$5),COUNTIFS(K$2:K206,Lists_Filter!$J$4,G$2:G206,Lists_Filter!$J$5),"")</f>
        <v/>
      </c>
    </row>
    <row r="207" spans="1:20" x14ac:dyDescent="0.3">
      <c r="A207" s="27" t="s">
        <v>387</v>
      </c>
      <c r="B207" s="28">
        <v>45695</v>
      </c>
      <c r="C207" s="29" t="s">
        <v>281</v>
      </c>
      <c r="D207" s="29" t="s">
        <v>282</v>
      </c>
      <c r="E207" s="29" t="s">
        <v>79</v>
      </c>
      <c r="F207" s="29" t="s">
        <v>80</v>
      </c>
      <c r="G207" s="29" t="s">
        <v>81</v>
      </c>
      <c r="H207" s="27">
        <v>3</v>
      </c>
      <c r="I207" s="30">
        <v>149.99</v>
      </c>
      <c r="J207" s="29" t="s">
        <v>92</v>
      </c>
      <c r="K207" s="29" t="s">
        <v>75</v>
      </c>
      <c r="L207" s="29" t="s">
        <v>62</v>
      </c>
      <c r="M207" s="28">
        <v>44564</v>
      </c>
      <c r="N207" s="30">
        <f t="shared" si="18"/>
        <v>449.97</v>
      </c>
      <c r="O207" s="28">
        <f t="shared" si="19"/>
        <v>45716</v>
      </c>
      <c r="P207" s="27" t="str">
        <f t="shared" si="20"/>
        <v>Feb 2025</v>
      </c>
      <c r="Q207" s="29">
        <f t="shared" ca="1" si="21"/>
        <v>630</v>
      </c>
      <c r="R207" s="29">
        <f t="shared" si="22"/>
        <v>37</v>
      </c>
      <c r="S207" s="27" t="str">
        <f t="shared" si="23"/>
        <v>RB-042</v>
      </c>
      <c r="T207" s="27" t="str">
        <f>IF(AND(K207=Lists_Filter!$J$4,G207=Lists_Filter!$J$5),COUNTIFS(K$2:K207,Lists_Filter!$J$4,G$2:G207,Lists_Filter!$J$5),"")</f>
        <v/>
      </c>
    </row>
    <row r="208" spans="1:20" x14ac:dyDescent="0.3">
      <c r="A208" s="27" t="s">
        <v>388</v>
      </c>
      <c r="B208" s="28">
        <v>45695</v>
      </c>
      <c r="C208" s="29" t="s">
        <v>128</v>
      </c>
      <c r="D208" s="29" t="s">
        <v>129</v>
      </c>
      <c r="E208" s="29" t="s">
        <v>140</v>
      </c>
      <c r="F208" s="29" t="s">
        <v>141</v>
      </c>
      <c r="G208" s="29" t="s">
        <v>81</v>
      </c>
      <c r="H208" s="27">
        <v>5</v>
      </c>
      <c r="I208" s="30">
        <v>299.99</v>
      </c>
      <c r="J208" s="29" t="s">
        <v>61</v>
      </c>
      <c r="K208" s="29" t="s">
        <v>70</v>
      </c>
      <c r="L208" s="29" t="s">
        <v>57</v>
      </c>
      <c r="M208" s="28">
        <v>44959</v>
      </c>
      <c r="N208" s="30">
        <f t="shared" si="18"/>
        <v>1499.95</v>
      </c>
      <c r="O208" s="28">
        <f t="shared" si="19"/>
        <v>45716</v>
      </c>
      <c r="P208" s="27" t="str">
        <f t="shared" si="20"/>
        <v>Feb 2025</v>
      </c>
      <c r="Q208" s="29">
        <f t="shared" ca="1" si="21"/>
        <v>630</v>
      </c>
      <c r="R208" s="29">
        <f t="shared" si="22"/>
        <v>24</v>
      </c>
      <c r="S208" s="27" t="str">
        <f t="shared" si="23"/>
        <v>VS-048</v>
      </c>
      <c r="T208" s="27" t="str">
        <f>IF(AND(K208=Lists_Filter!$J$4,G208=Lists_Filter!$J$5),COUNTIFS(K$2:K208,Lists_Filter!$J$4,G$2:G208,Lists_Filter!$J$5),"")</f>
        <v/>
      </c>
    </row>
    <row r="209" spans="1:20" x14ac:dyDescent="0.3">
      <c r="A209" s="27" t="s">
        <v>389</v>
      </c>
      <c r="B209" s="28">
        <v>45696</v>
      </c>
      <c r="C209" s="29" t="s">
        <v>186</v>
      </c>
      <c r="D209" s="29" t="s">
        <v>187</v>
      </c>
      <c r="E209" s="29" t="s">
        <v>66</v>
      </c>
      <c r="F209" s="29" t="s">
        <v>67</v>
      </c>
      <c r="G209" s="29" t="s">
        <v>68</v>
      </c>
      <c r="H209" s="27">
        <v>5</v>
      </c>
      <c r="I209" s="30">
        <v>59.99</v>
      </c>
      <c r="J209" s="29" t="s">
        <v>92</v>
      </c>
      <c r="K209" s="29" t="s">
        <v>56</v>
      </c>
      <c r="L209" s="29" t="s">
        <v>71</v>
      </c>
      <c r="M209" s="28">
        <v>45177</v>
      </c>
      <c r="N209" s="30">
        <f t="shared" si="18"/>
        <v>299.95</v>
      </c>
      <c r="O209" s="28">
        <f t="shared" si="19"/>
        <v>45716</v>
      </c>
      <c r="P209" s="27" t="str">
        <f t="shared" si="20"/>
        <v>Feb 2025</v>
      </c>
      <c r="Q209" s="29">
        <f t="shared" ca="1" si="21"/>
        <v>629</v>
      </c>
      <c r="R209" s="29">
        <f t="shared" si="22"/>
        <v>17</v>
      </c>
      <c r="S209" s="27" t="str">
        <f t="shared" si="23"/>
        <v>SB-040</v>
      </c>
      <c r="T209" s="27" t="str">
        <f>IF(AND(K209=Lists_Filter!$J$4,G209=Lists_Filter!$J$5),COUNTIFS(K$2:K209,Lists_Filter!$J$4,G$2:G209,Lists_Filter!$J$5),"")</f>
        <v/>
      </c>
    </row>
    <row r="210" spans="1:20" x14ac:dyDescent="0.3">
      <c r="A210" s="27" t="s">
        <v>390</v>
      </c>
      <c r="B210" s="28">
        <v>45701</v>
      </c>
      <c r="C210" s="29" t="s">
        <v>143</v>
      </c>
      <c r="D210" s="29" t="s">
        <v>144</v>
      </c>
      <c r="E210" s="29" t="s">
        <v>152</v>
      </c>
      <c r="F210" s="29" t="s">
        <v>153</v>
      </c>
      <c r="G210" s="29" t="s">
        <v>68</v>
      </c>
      <c r="H210" s="27">
        <v>3</v>
      </c>
      <c r="I210" s="30">
        <v>79.989999999999995</v>
      </c>
      <c r="J210" s="29" t="s">
        <v>55</v>
      </c>
      <c r="K210" s="29" t="s">
        <v>98</v>
      </c>
      <c r="L210" s="29" t="s">
        <v>62</v>
      </c>
      <c r="M210" s="28">
        <v>44436</v>
      </c>
      <c r="N210" s="30">
        <f t="shared" si="18"/>
        <v>239.96999999999997</v>
      </c>
      <c r="O210" s="28">
        <f t="shared" si="19"/>
        <v>45716</v>
      </c>
      <c r="P210" s="27" t="str">
        <f t="shared" si="20"/>
        <v>Feb 2025</v>
      </c>
      <c r="Q210" s="29">
        <f t="shared" ca="1" si="21"/>
        <v>624</v>
      </c>
      <c r="R210" s="29">
        <f t="shared" si="22"/>
        <v>41</v>
      </c>
      <c r="S210" s="27" t="str">
        <f t="shared" si="23"/>
        <v>NC-036</v>
      </c>
      <c r="T210" s="27" t="str">
        <f>IF(AND(K210=Lists_Filter!$J$4,G210=Lists_Filter!$J$5),COUNTIFS(K$2:K210,Lists_Filter!$J$4,G$2:G210,Lists_Filter!$J$5),"")</f>
        <v/>
      </c>
    </row>
    <row r="211" spans="1:20" x14ac:dyDescent="0.3">
      <c r="A211" s="27" t="s">
        <v>391</v>
      </c>
      <c r="B211" s="28">
        <v>45704</v>
      </c>
      <c r="C211" s="29" t="s">
        <v>64</v>
      </c>
      <c r="D211" s="29" t="s">
        <v>65</v>
      </c>
      <c r="E211" s="29" t="s">
        <v>158</v>
      </c>
      <c r="F211" s="29" t="s">
        <v>159</v>
      </c>
      <c r="G211" s="29" t="s">
        <v>81</v>
      </c>
      <c r="H211" s="27">
        <v>3</v>
      </c>
      <c r="I211" s="30">
        <v>199.99</v>
      </c>
      <c r="J211" s="29" t="s">
        <v>55</v>
      </c>
      <c r="K211" s="29" t="s">
        <v>56</v>
      </c>
      <c r="L211" s="29" t="s">
        <v>57</v>
      </c>
      <c r="M211" s="28">
        <v>44735</v>
      </c>
      <c r="N211" s="30">
        <f t="shared" si="18"/>
        <v>599.97</v>
      </c>
      <c r="O211" s="28">
        <f t="shared" si="19"/>
        <v>45716</v>
      </c>
      <c r="P211" s="27" t="str">
        <f t="shared" si="20"/>
        <v>Feb 2025</v>
      </c>
      <c r="Q211" s="29">
        <f t="shared" ca="1" si="21"/>
        <v>621</v>
      </c>
      <c r="R211" s="29">
        <f t="shared" si="22"/>
        <v>31</v>
      </c>
      <c r="S211" s="27" t="str">
        <f t="shared" si="23"/>
        <v>KS-021</v>
      </c>
      <c r="T211" s="27" t="str">
        <f>IF(AND(K211=Lists_Filter!$J$4,G211=Lists_Filter!$J$5),COUNTIFS(K$2:K211,Lists_Filter!$J$4,G$2:G211,Lists_Filter!$J$5),"")</f>
        <v/>
      </c>
    </row>
    <row r="212" spans="1:20" x14ac:dyDescent="0.3">
      <c r="A212" s="27" t="s">
        <v>392</v>
      </c>
      <c r="B212" s="28">
        <v>45704</v>
      </c>
      <c r="C212" s="29" t="s">
        <v>50</v>
      </c>
      <c r="D212" s="29" t="s">
        <v>51</v>
      </c>
      <c r="E212" s="29" t="s">
        <v>146</v>
      </c>
      <c r="F212" s="29" t="s">
        <v>147</v>
      </c>
      <c r="G212" s="29" t="s">
        <v>54</v>
      </c>
      <c r="H212" s="27">
        <v>2</v>
      </c>
      <c r="I212" s="30">
        <v>89.99</v>
      </c>
      <c r="J212" s="29" t="s">
        <v>69</v>
      </c>
      <c r="K212" s="29" t="s">
        <v>56</v>
      </c>
      <c r="L212" s="29" t="s">
        <v>57</v>
      </c>
      <c r="M212" s="28">
        <v>45257</v>
      </c>
      <c r="N212" s="30">
        <f t="shared" si="18"/>
        <v>179.98</v>
      </c>
      <c r="O212" s="28">
        <f t="shared" si="19"/>
        <v>45716</v>
      </c>
      <c r="P212" s="27" t="str">
        <f t="shared" si="20"/>
        <v>Feb 2025</v>
      </c>
      <c r="Q212" s="29">
        <f t="shared" ca="1" si="21"/>
        <v>621</v>
      </c>
      <c r="R212" s="29">
        <f t="shared" si="22"/>
        <v>14</v>
      </c>
      <c r="S212" s="27" t="str">
        <f t="shared" si="23"/>
        <v>PB-023</v>
      </c>
      <c r="T212" s="27" t="str">
        <f>IF(AND(K212=Lists_Filter!$J$4,G212=Lists_Filter!$J$5),COUNTIFS(K$2:K212,Lists_Filter!$J$4,G$2:G212,Lists_Filter!$J$5),"")</f>
        <v/>
      </c>
    </row>
    <row r="213" spans="1:20" x14ac:dyDescent="0.3">
      <c r="A213" s="27" t="s">
        <v>393</v>
      </c>
      <c r="B213" s="28">
        <v>45705</v>
      </c>
      <c r="C213" s="29" t="s">
        <v>294</v>
      </c>
      <c r="D213" s="29" t="s">
        <v>295</v>
      </c>
      <c r="E213" s="29" t="s">
        <v>79</v>
      </c>
      <c r="F213" s="29" t="s">
        <v>80</v>
      </c>
      <c r="G213" s="29" t="s">
        <v>81</v>
      </c>
      <c r="H213" s="27">
        <v>2</v>
      </c>
      <c r="I213" s="30">
        <v>149.99</v>
      </c>
      <c r="J213" s="29" t="s">
        <v>55</v>
      </c>
      <c r="K213" s="29" t="s">
        <v>70</v>
      </c>
      <c r="L213" s="29" t="s">
        <v>62</v>
      </c>
      <c r="M213" s="28">
        <v>44728</v>
      </c>
      <c r="N213" s="30">
        <f t="shared" si="18"/>
        <v>299.98</v>
      </c>
      <c r="O213" s="28">
        <f t="shared" si="19"/>
        <v>45716</v>
      </c>
      <c r="P213" s="27" t="str">
        <f t="shared" si="20"/>
        <v>Feb 2025</v>
      </c>
      <c r="Q213" s="29">
        <f t="shared" ca="1" si="21"/>
        <v>620</v>
      </c>
      <c r="R213" s="29">
        <f t="shared" si="22"/>
        <v>32</v>
      </c>
      <c r="S213" s="27" t="str">
        <f t="shared" si="23"/>
        <v>RL-015</v>
      </c>
      <c r="T213" s="27" t="str">
        <f>IF(AND(K213=Lists_Filter!$J$4,G213=Lists_Filter!$J$5),COUNTIFS(K$2:K213,Lists_Filter!$J$4,G$2:G213,Lists_Filter!$J$5),"")</f>
        <v/>
      </c>
    </row>
    <row r="214" spans="1:20" x14ac:dyDescent="0.3">
      <c r="A214" s="27" t="s">
        <v>394</v>
      </c>
      <c r="B214" s="28">
        <v>45707</v>
      </c>
      <c r="C214" s="29" t="s">
        <v>77</v>
      </c>
      <c r="D214" s="29" t="s">
        <v>78</v>
      </c>
      <c r="E214" s="29" t="s">
        <v>79</v>
      </c>
      <c r="F214" s="29" t="s">
        <v>80</v>
      </c>
      <c r="G214" s="29" t="s">
        <v>81</v>
      </c>
      <c r="H214" s="27">
        <v>3</v>
      </c>
      <c r="I214" s="30">
        <v>149.99</v>
      </c>
      <c r="J214" s="29" t="s">
        <v>69</v>
      </c>
      <c r="K214" s="29" t="s">
        <v>56</v>
      </c>
      <c r="L214" s="29" t="s">
        <v>71</v>
      </c>
      <c r="M214" s="28">
        <v>44633</v>
      </c>
      <c r="N214" s="30">
        <f t="shared" si="18"/>
        <v>449.97</v>
      </c>
      <c r="O214" s="28">
        <f t="shared" si="19"/>
        <v>45716</v>
      </c>
      <c r="P214" s="27" t="str">
        <f t="shared" si="20"/>
        <v>Feb 2025</v>
      </c>
      <c r="Q214" s="29">
        <f t="shared" ca="1" si="21"/>
        <v>618</v>
      </c>
      <c r="R214" s="29">
        <f t="shared" si="22"/>
        <v>35</v>
      </c>
      <c r="S214" s="27" t="str">
        <f t="shared" si="23"/>
        <v>MB-003</v>
      </c>
      <c r="T214" s="27" t="str">
        <f>IF(AND(K214=Lists_Filter!$J$4,G214=Lists_Filter!$J$5),COUNTIFS(K$2:K214,Lists_Filter!$J$4,G$2:G214,Lists_Filter!$J$5),"")</f>
        <v/>
      </c>
    </row>
    <row r="215" spans="1:20" x14ac:dyDescent="0.3">
      <c r="A215" s="27" t="s">
        <v>395</v>
      </c>
      <c r="B215" s="28">
        <v>45707</v>
      </c>
      <c r="C215" s="29" t="s">
        <v>161</v>
      </c>
      <c r="D215" s="29" t="s">
        <v>162</v>
      </c>
      <c r="E215" s="29" t="s">
        <v>115</v>
      </c>
      <c r="F215" s="29" t="s">
        <v>116</v>
      </c>
      <c r="G215" s="29" t="s">
        <v>54</v>
      </c>
      <c r="H215" s="27">
        <v>5</v>
      </c>
      <c r="I215" s="30">
        <v>699.99</v>
      </c>
      <c r="J215" s="29" t="s">
        <v>69</v>
      </c>
      <c r="K215" s="29" t="s">
        <v>70</v>
      </c>
      <c r="L215" s="29" t="s">
        <v>62</v>
      </c>
      <c r="M215" s="28">
        <v>45352</v>
      </c>
      <c r="N215" s="30">
        <f t="shared" si="18"/>
        <v>3499.95</v>
      </c>
      <c r="O215" s="28">
        <f t="shared" si="19"/>
        <v>45716</v>
      </c>
      <c r="P215" s="27" t="str">
        <f t="shared" si="20"/>
        <v>Feb 2025</v>
      </c>
      <c r="Q215" s="29">
        <f t="shared" ca="1" si="21"/>
        <v>618</v>
      </c>
      <c r="R215" s="29">
        <f t="shared" si="22"/>
        <v>11</v>
      </c>
      <c r="S215" s="27" t="str">
        <f t="shared" si="23"/>
        <v>EM-029</v>
      </c>
      <c r="T215" s="27" t="str">
        <f>IF(AND(K215=Lists_Filter!$J$4,G215=Lists_Filter!$J$5),COUNTIFS(K$2:K215,Lists_Filter!$J$4,G$2:G215,Lists_Filter!$J$5),"")</f>
        <v/>
      </c>
    </row>
    <row r="216" spans="1:20" x14ac:dyDescent="0.3">
      <c r="A216" s="27" t="s">
        <v>396</v>
      </c>
      <c r="B216" s="28">
        <v>45708</v>
      </c>
      <c r="C216" s="29" t="s">
        <v>131</v>
      </c>
      <c r="D216" s="29" t="s">
        <v>132</v>
      </c>
      <c r="E216" s="29" t="s">
        <v>96</v>
      </c>
      <c r="F216" s="29" t="s">
        <v>97</v>
      </c>
      <c r="G216" s="29" t="s">
        <v>54</v>
      </c>
      <c r="H216" s="27">
        <v>3</v>
      </c>
      <c r="I216" s="30">
        <v>899.99</v>
      </c>
      <c r="J216" s="29" t="s">
        <v>55</v>
      </c>
      <c r="K216" s="29" t="s">
        <v>98</v>
      </c>
      <c r="L216" s="29" t="s">
        <v>71</v>
      </c>
      <c r="M216" s="28">
        <v>44613</v>
      </c>
      <c r="N216" s="30">
        <f t="shared" si="18"/>
        <v>2699.9700000000003</v>
      </c>
      <c r="O216" s="28">
        <f t="shared" si="19"/>
        <v>45716</v>
      </c>
      <c r="P216" s="27" t="str">
        <f t="shared" si="20"/>
        <v>Feb 2025</v>
      </c>
      <c r="Q216" s="29">
        <f t="shared" ca="1" si="21"/>
        <v>617</v>
      </c>
      <c r="R216" s="29">
        <f t="shared" si="22"/>
        <v>35</v>
      </c>
      <c r="S216" s="27" t="str">
        <f t="shared" si="23"/>
        <v>BY-018</v>
      </c>
      <c r="T216" s="27" t="str">
        <f>IF(AND(K216=Lists_Filter!$J$4,G216=Lists_Filter!$J$5),COUNTIFS(K$2:K216,Lists_Filter!$J$4,G$2:G216,Lists_Filter!$J$5),"")</f>
        <v/>
      </c>
    </row>
    <row r="217" spans="1:20" x14ac:dyDescent="0.3">
      <c r="A217" s="27" t="s">
        <v>397</v>
      </c>
      <c r="B217" s="28">
        <v>45708</v>
      </c>
      <c r="C217" s="29" t="s">
        <v>227</v>
      </c>
      <c r="D217" s="29" t="s">
        <v>228</v>
      </c>
      <c r="E217" s="29" t="s">
        <v>158</v>
      </c>
      <c r="F217" s="29" t="s">
        <v>159</v>
      </c>
      <c r="G217" s="29" t="s">
        <v>81</v>
      </c>
      <c r="H217" s="27">
        <v>3</v>
      </c>
      <c r="I217" s="30">
        <v>199.99</v>
      </c>
      <c r="J217" s="29" t="s">
        <v>55</v>
      </c>
      <c r="K217" s="29" t="s">
        <v>85</v>
      </c>
      <c r="L217" s="29" t="s">
        <v>62</v>
      </c>
      <c r="M217" s="28">
        <v>44823</v>
      </c>
      <c r="N217" s="30">
        <f t="shared" si="18"/>
        <v>599.97</v>
      </c>
      <c r="O217" s="28">
        <f t="shared" si="19"/>
        <v>45716</v>
      </c>
      <c r="P217" s="27" t="str">
        <f t="shared" si="20"/>
        <v>Feb 2025</v>
      </c>
      <c r="Q217" s="29">
        <f t="shared" ca="1" si="21"/>
        <v>617</v>
      </c>
      <c r="R217" s="29">
        <f t="shared" si="22"/>
        <v>29</v>
      </c>
      <c r="S217" s="27" t="str">
        <f t="shared" si="23"/>
        <v>FT-033</v>
      </c>
      <c r="T217" s="27" t="str">
        <f>IF(AND(K217=Lists_Filter!$J$4,G217=Lists_Filter!$J$5),COUNTIFS(K$2:K217,Lists_Filter!$J$4,G$2:G217,Lists_Filter!$J$5),"")</f>
        <v/>
      </c>
    </row>
    <row r="218" spans="1:20" x14ac:dyDescent="0.3">
      <c r="A218" s="27" t="s">
        <v>398</v>
      </c>
      <c r="B218" s="28">
        <v>45710</v>
      </c>
      <c r="C218" s="29" t="s">
        <v>90</v>
      </c>
      <c r="D218" s="29" t="s">
        <v>91</v>
      </c>
      <c r="E218" s="29" t="s">
        <v>140</v>
      </c>
      <c r="F218" s="29" t="s">
        <v>141</v>
      </c>
      <c r="G218" s="29" t="s">
        <v>81</v>
      </c>
      <c r="H218" s="27">
        <v>5</v>
      </c>
      <c r="I218" s="30">
        <v>299.99</v>
      </c>
      <c r="J218" s="29" t="s">
        <v>55</v>
      </c>
      <c r="K218" s="29" t="s">
        <v>85</v>
      </c>
      <c r="L218" s="29" t="s">
        <v>71</v>
      </c>
      <c r="M218" s="28">
        <v>45142</v>
      </c>
      <c r="N218" s="30">
        <f t="shared" si="18"/>
        <v>1499.95</v>
      </c>
      <c r="O218" s="28">
        <f t="shared" si="19"/>
        <v>45716</v>
      </c>
      <c r="P218" s="27" t="str">
        <f t="shared" si="20"/>
        <v>Feb 2025</v>
      </c>
      <c r="Q218" s="29">
        <f t="shared" ca="1" si="21"/>
        <v>615</v>
      </c>
      <c r="R218" s="29">
        <f t="shared" si="22"/>
        <v>18</v>
      </c>
      <c r="S218" s="27" t="str">
        <f t="shared" si="23"/>
        <v>CA-017</v>
      </c>
      <c r="T218" s="27" t="str">
        <f>IF(AND(K218=Lists_Filter!$J$4,G218=Lists_Filter!$J$5),COUNTIFS(K$2:K218,Lists_Filter!$J$4,G$2:G218,Lists_Filter!$J$5),"")</f>
        <v/>
      </c>
    </row>
    <row r="219" spans="1:20" x14ac:dyDescent="0.3">
      <c r="A219" s="27" t="s">
        <v>399</v>
      </c>
      <c r="B219" s="28">
        <v>45710</v>
      </c>
      <c r="C219" s="29" t="s">
        <v>186</v>
      </c>
      <c r="D219" s="29" t="s">
        <v>187</v>
      </c>
      <c r="E219" s="29" t="s">
        <v>115</v>
      </c>
      <c r="F219" s="29" t="s">
        <v>116</v>
      </c>
      <c r="G219" s="29" t="s">
        <v>54</v>
      </c>
      <c r="H219" s="27">
        <v>1</v>
      </c>
      <c r="I219" s="30">
        <v>699.99</v>
      </c>
      <c r="J219" s="29" t="s">
        <v>69</v>
      </c>
      <c r="K219" s="29" t="s">
        <v>85</v>
      </c>
      <c r="L219" s="29" t="s">
        <v>57</v>
      </c>
      <c r="M219" s="28">
        <v>44934</v>
      </c>
      <c r="N219" s="30">
        <f t="shared" si="18"/>
        <v>699.99</v>
      </c>
      <c r="O219" s="28">
        <f t="shared" si="19"/>
        <v>45716</v>
      </c>
      <c r="P219" s="27" t="str">
        <f t="shared" si="20"/>
        <v>Feb 2025</v>
      </c>
      <c r="Q219" s="29">
        <f t="shared" ca="1" si="21"/>
        <v>615</v>
      </c>
      <c r="R219" s="29">
        <f t="shared" si="22"/>
        <v>25</v>
      </c>
      <c r="S219" s="27" t="str">
        <f t="shared" si="23"/>
        <v>SB-040</v>
      </c>
      <c r="T219" s="27" t="str">
        <f>IF(AND(K219=Lists_Filter!$J$4,G219=Lists_Filter!$J$5),COUNTIFS(K$2:K219,Lists_Filter!$J$4,G$2:G219,Lists_Filter!$J$5),"")</f>
        <v/>
      </c>
    </row>
    <row r="220" spans="1:20" x14ac:dyDescent="0.3">
      <c r="A220" s="27" t="s">
        <v>400</v>
      </c>
      <c r="B220" s="28">
        <v>45711</v>
      </c>
      <c r="C220" s="29" t="s">
        <v>281</v>
      </c>
      <c r="D220" s="29" t="s">
        <v>282</v>
      </c>
      <c r="E220" s="29" t="s">
        <v>115</v>
      </c>
      <c r="F220" s="29" t="s">
        <v>116</v>
      </c>
      <c r="G220" s="29" t="s">
        <v>54</v>
      </c>
      <c r="H220" s="27">
        <v>1</v>
      </c>
      <c r="I220" s="30">
        <v>699.99</v>
      </c>
      <c r="J220" s="29" t="s">
        <v>55</v>
      </c>
      <c r="K220" s="29" t="s">
        <v>75</v>
      </c>
      <c r="L220" s="29" t="s">
        <v>62</v>
      </c>
      <c r="M220" s="28">
        <v>44583</v>
      </c>
      <c r="N220" s="30">
        <f t="shared" si="18"/>
        <v>699.99</v>
      </c>
      <c r="O220" s="28">
        <f t="shared" si="19"/>
        <v>45716</v>
      </c>
      <c r="P220" s="27" t="str">
        <f t="shared" si="20"/>
        <v>Feb 2025</v>
      </c>
      <c r="Q220" s="29">
        <f t="shared" ca="1" si="21"/>
        <v>614</v>
      </c>
      <c r="R220" s="29">
        <f t="shared" si="22"/>
        <v>37</v>
      </c>
      <c r="S220" s="27" t="str">
        <f t="shared" si="23"/>
        <v>RB-042</v>
      </c>
      <c r="T220" s="29">
        <f>IF(AND(K220=Lists_Filter!$J$4,G220=Lists_Filter!$J$5),COUNTIFS(K$2:K220,Lists_Filter!$J$4,G$2:G220,Lists_Filter!$J$5),"")</f>
        <v>30</v>
      </c>
    </row>
    <row r="221" spans="1:20" x14ac:dyDescent="0.3">
      <c r="A221" s="27" t="s">
        <v>401</v>
      </c>
      <c r="B221" s="28">
        <v>45711</v>
      </c>
      <c r="C221" s="29" t="s">
        <v>246</v>
      </c>
      <c r="D221" s="29" t="s">
        <v>247</v>
      </c>
      <c r="E221" s="29" t="s">
        <v>146</v>
      </c>
      <c r="F221" s="29" t="s">
        <v>147</v>
      </c>
      <c r="G221" s="29" t="s">
        <v>54</v>
      </c>
      <c r="H221" s="27">
        <v>5</v>
      </c>
      <c r="I221" s="30">
        <v>89.99</v>
      </c>
      <c r="J221" s="29" t="s">
        <v>69</v>
      </c>
      <c r="K221" s="29" t="s">
        <v>85</v>
      </c>
      <c r="L221" s="29" t="s">
        <v>62</v>
      </c>
      <c r="M221" s="28">
        <v>45140</v>
      </c>
      <c r="N221" s="30">
        <f t="shared" si="18"/>
        <v>449.95</v>
      </c>
      <c r="O221" s="28">
        <f t="shared" si="19"/>
        <v>45716</v>
      </c>
      <c r="P221" s="27" t="str">
        <f t="shared" si="20"/>
        <v>Feb 2025</v>
      </c>
      <c r="Q221" s="29">
        <f t="shared" ca="1" si="21"/>
        <v>614</v>
      </c>
      <c r="R221" s="29">
        <f t="shared" si="22"/>
        <v>18</v>
      </c>
      <c r="S221" s="27" t="str">
        <f t="shared" si="23"/>
        <v>EH-016</v>
      </c>
      <c r="T221" s="27" t="str">
        <f>IF(AND(K221=Lists_Filter!$J$4,G221=Lists_Filter!$J$5),COUNTIFS(K$2:K221,Lists_Filter!$J$4,G$2:G221,Lists_Filter!$J$5),"")</f>
        <v/>
      </c>
    </row>
    <row r="222" spans="1:20" x14ac:dyDescent="0.3">
      <c r="A222" s="27" t="s">
        <v>402</v>
      </c>
      <c r="B222" s="28">
        <v>45711</v>
      </c>
      <c r="C222" s="29" t="s">
        <v>360</v>
      </c>
      <c r="D222" s="29" t="s">
        <v>361</v>
      </c>
      <c r="E222" s="29" t="s">
        <v>79</v>
      </c>
      <c r="F222" s="29" t="s">
        <v>80</v>
      </c>
      <c r="G222" s="29" t="s">
        <v>81</v>
      </c>
      <c r="H222" s="27">
        <v>4</v>
      </c>
      <c r="I222" s="30">
        <v>149.99</v>
      </c>
      <c r="J222" s="29" t="s">
        <v>69</v>
      </c>
      <c r="K222" s="29" t="s">
        <v>75</v>
      </c>
      <c r="L222" s="29" t="s">
        <v>62</v>
      </c>
      <c r="M222" s="28">
        <v>44412</v>
      </c>
      <c r="N222" s="30">
        <f t="shared" si="18"/>
        <v>599.96</v>
      </c>
      <c r="O222" s="28">
        <f t="shared" si="19"/>
        <v>45716</v>
      </c>
      <c r="P222" s="27" t="str">
        <f t="shared" si="20"/>
        <v>Feb 2025</v>
      </c>
      <c r="Q222" s="29">
        <f t="shared" ca="1" si="21"/>
        <v>614</v>
      </c>
      <c r="R222" s="29">
        <f t="shared" si="22"/>
        <v>42</v>
      </c>
      <c r="S222" s="27" t="str">
        <f t="shared" si="23"/>
        <v>AE-037</v>
      </c>
      <c r="T222" s="27" t="str">
        <f>IF(AND(K222=Lists_Filter!$J$4,G222=Lists_Filter!$J$5),COUNTIFS(K$2:K222,Lists_Filter!$J$4,G$2:G222,Lists_Filter!$J$5),"")</f>
        <v/>
      </c>
    </row>
    <row r="223" spans="1:20" x14ac:dyDescent="0.3">
      <c r="A223" s="27" t="s">
        <v>403</v>
      </c>
      <c r="B223" s="28">
        <v>45712</v>
      </c>
      <c r="C223" s="29" t="s">
        <v>173</v>
      </c>
      <c r="D223" s="29" t="s">
        <v>174</v>
      </c>
      <c r="E223" s="29" t="s">
        <v>158</v>
      </c>
      <c r="F223" s="29" t="s">
        <v>159</v>
      </c>
      <c r="G223" s="29" t="s">
        <v>81</v>
      </c>
      <c r="H223" s="27">
        <v>2</v>
      </c>
      <c r="I223" s="30">
        <v>199.99</v>
      </c>
      <c r="J223" s="29" t="s">
        <v>55</v>
      </c>
      <c r="K223" s="29" t="s">
        <v>56</v>
      </c>
      <c r="L223" s="29" t="s">
        <v>62</v>
      </c>
      <c r="M223" s="28">
        <v>44573</v>
      </c>
      <c r="N223" s="30">
        <f t="shared" si="18"/>
        <v>399.98</v>
      </c>
      <c r="O223" s="28">
        <f t="shared" si="19"/>
        <v>45716</v>
      </c>
      <c r="P223" s="27" t="str">
        <f t="shared" si="20"/>
        <v>Feb 2025</v>
      </c>
      <c r="Q223" s="29">
        <f t="shared" ca="1" si="21"/>
        <v>613</v>
      </c>
      <c r="R223" s="29">
        <f t="shared" si="22"/>
        <v>37</v>
      </c>
      <c r="S223" s="27" t="str">
        <f t="shared" si="23"/>
        <v>ST-031</v>
      </c>
      <c r="T223" s="27" t="str">
        <f>IF(AND(K223=Lists_Filter!$J$4,G223=Lists_Filter!$J$5),COUNTIFS(K$2:K223,Lists_Filter!$J$4,G$2:G223,Lists_Filter!$J$5),"")</f>
        <v/>
      </c>
    </row>
    <row r="224" spans="1:20" x14ac:dyDescent="0.3">
      <c r="A224" s="27" t="s">
        <v>404</v>
      </c>
      <c r="B224" s="28">
        <v>45715</v>
      </c>
      <c r="C224" s="29" t="s">
        <v>128</v>
      </c>
      <c r="D224" s="29" t="s">
        <v>129</v>
      </c>
      <c r="E224" s="29" t="s">
        <v>140</v>
      </c>
      <c r="F224" s="29" t="s">
        <v>141</v>
      </c>
      <c r="G224" s="29" t="s">
        <v>81</v>
      </c>
      <c r="H224" s="27">
        <v>2</v>
      </c>
      <c r="I224" s="30">
        <v>299.99</v>
      </c>
      <c r="J224" s="29" t="s">
        <v>69</v>
      </c>
      <c r="K224" s="29" t="s">
        <v>70</v>
      </c>
      <c r="L224" s="29" t="s">
        <v>57</v>
      </c>
      <c r="M224" s="28">
        <v>44576</v>
      </c>
      <c r="N224" s="30">
        <f t="shared" si="18"/>
        <v>599.98</v>
      </c>
      <c r="O224" s="28">
        <f t="shared" si="19"/>
        <v>45716</v>
      </c>
      <c r="P224" s="27" t="str">
        <f t="shared" si="20"/>
        <v>Feb 2025</v>
      </c>
      <c r="Q224" s="29">
        <f t="shared" ca="1" si="21"/>
        <v>610</v>
      </c>
      <c r="R224" s="29">
        <f t="shared" si="22"/>
        <v>37</v>
      </c>
      <c r="S224" s="27" t="str">
        <f t="shared" si="23"/>
        <v>VS-048</v>
      </c>
      <c r="T224" s="27" t="str">
        <f>IF(AND(K224=Lists_Filter!$J$4,G224=Lists_Filter!$J$5),COUNTIFS(K$2:K224,Lists_Filter!$J$4,G$2:G224,Lists_Filter!$J$5),"")</f>
        <v/>
      </c>
    </row>
    <row r="225" spans="1:20" x14ac:dyDescent="0.3">
      <c r="A225" s="27" t="s">
        <v>405</v>
      </c>
      <c r="B225" s="28">
        <v>45715</v>
      </c>
      <c r="C225" s="29" t="s">
        <v>294</v>
      </c>
      <c r="D225" s="29" t="s">
        <v>295</v>
      </c>
      <c r="E225" s="29" t="s">
        <v>66</v>
      </c>
      <c r="F225" s="29" t="s">
        <v>67</v>
      </c>
      <c r="G225" s="29" t="s">
        <v>68</v>
      </c>
      <c r="H225" s="27">
        <v>4</v>
      </c>
      <c r="I225" s="30">
        <v>59.99</v>
      </c>
      <c r="J225" s="29" t="s">
        <v>55</v>
      </c>
      <c r="K225" s="29" t="s">
        <v>85</v>
      </c>
      <c r="L225" s="29" t="s">
        <v>71</v>
      </c>
      <c r="M225" s="28">
        <v>45070</v>
      </c>
      <c r="N225" s="30">
        <f t="shared" si="18"/>
        <v>239.96</v>
      </c>
      <c r="O225" s="28">
        <f t="shared" si="19"/>
        <v>45716</v>
      </c>
      <c r="P225" s="27" t="str">
        <f t="shared" si="20"/>
        <v>Feb 2025</v>
      </c>
      <c r="Q225" s="29">
        <f t="shared" ca="1" si="21"/>
        <v>610</v>
      </c>
      <c r="R225" s="29">
        <f t="shared" si="22"/>
        <v>21</v>
      </c>
      <c r="S225" s="27" t="str">
        <f t="shared" si="23"/>
        <v>RL-015</v>
      </c>
      <c r="T225" s="27" t="str">
        <f>IF(AND(K225=Lists_Filter!$J$4,G225=Lists_Filter!$J$5),COUNTIFS(K$2:K225,Lists_Filter!$J$4,G$2:G225,Lists_Filter!$J$5),"")</f>
        <v/>
      </c>
    </row>
    <row r="226" spans="1:20" x14ac:dyDescent="0.3">
      <c r="A226" s="27" t="s">
        <v>406</v>
      </c>
      <c r="B226" s="28">
        <v>45718</v>
      </c>
      <c r="C226" s="29" t="s">
        <v>90</v>
      </c>
      <c r="D226" s="29" t="s">
        <v>91</v>
      </c>
      <c r="E226" s="29" t="s">
        <v>79</v>
      </c>
      <c r="F226" s="29" t="s">
        <v>80</v>
      </c>
      <c r="G226" s="29" t="s">
        <v>81</v>
      </c>
      <c r="H226" s="27">
        <v>2</v>
      </c>
      <c r="I226" s="30">
        <v>149.99</v>
      </c>
      <c r="J226" s="29" t="s">
        <v>55</v>
      </c>
      <c r="K226" s="29" t="s">
        <v>56</v>
      </c>
      <c r="L226" s="29" t="s">
        <v>57</v>
      </c>
      <c r="M226" s="28">
        <v>45068</v>
      </c>
      <c r="N226" s="30">
        <f t="shared" si="18"/>
        <v>299.98</v>
      </c>
      <c r="O226" s="28">
        <f t="shared" si="19"/>
        <v>45747</v>
      </c>
      <c r="P226" s="27" t="str">
        <f t="shared" si="20"/>
        <v>Mar 2025</v>
      </c>
      <c r="Q226" s="29">
        <f t="shared" ca="1" si="21"/>
        <v>607</v>
      </c>
      <c r="R226" s="29">
        <f t="shared" si="22"/>
        <v>21</v>
      </c>
      <c r="S226" s="27" t="str">
        <f t="shared" si="23"/>
        <v>CA-017</v>
      </c>
      <c r="T226" s="27" t="str">
        <f>IF(AND(K226=Lists_Filter!$J$4,G226=Lists_Filter!$J$5),COUNTIFS(K$2:K226,Lists_Filter!$J$4,G$2:G226,Lists_Filter!$J$5),"")</f>
        <v/>
      </c>
    </row>
    <row r="227" spans="1:20" x14ac:dyDescent="0.3">
      <c r="A227" s="27" t="s">
        <v>407</v>
      </c>
      <c r="B227" s="28">
        <v>45720</v>
      </c>
      <c r="C227" s="29" t="s">
        <v>261</v>
      </c>
      <c r="D227" s="29" t="s">
        <v>262</v>
      </c>
      <c r="E227" s="29" t="s">
        <v>115</v>
      </c>
      <c r="F227" s="29" t="s">
        <v>116</v>
      </c>
      <c r="G227" s="29" t="s">
        <v>54</v>
      </c>
      <c r="H227" s="27">
        <v>5</v>
      </c>
      <c r="I227" s="30">
        <v>699.99</v>
      </c>
      <c r="J227" s="29" t="s">
        <v>92</v>
      </c>
      <c r="K227" s="29" t="s">
        <v>98</v>
      </c>
      <c r="L227" s="29" t="s">
        <v>62</v>
      </c>
      <c r="M227" s="28">
        <v>45161</v>
      </c>
      <c r="N227" s="30">
        <f t="shared" si="18"/>
        <v>3499.95</v>
      </c>
      <c r="O227" s="28">
        <f t="shared" si="19"/>
        <v>45747</v>
      </c>
      <c r="P227" s="27" t="str">
        <f t="shared" si="20"/>
        <v>Mar 2025</v>
      </c>
      <c r="Q227" s="29">
        <f t="shared" ca="1" si="21"/>
        <v>605</v>
      </c>
      <c r="R227" s="29">
        <f t="shared" si="22"/>
        <v>18</v>
      </c>
      <c r="S227" s="27" t="str">
        <f t="shared" si="23"/>
        <v>LR-039</v>
      </c>
      <c r="T227" s="27" t="str">
        <f>IF(AND(K227=Lists_Filter!$J$4,G227=Lists_Filter!$J$5),COUNTIFS(K$2:K227,Lists_Filter!$J$4,G$2:G227,Lists_Filter!$J$5),"")</f>
        <v/>
      </c>
    </row>
    <row r="228" spans="1:20" x14ac:dyDescent="0.3">
      <c r="A228" s="27" t="s">
        <v>408</v>
      </c>
      <c r="B228" s="28">
        <v>45721</v>
      </c>
      <c r="C228" s="29" t="s">
        <v>110</v>
      </c>
      <c r="D228" s="29" t="s">
        <v>111</v>
      </c>
      <c r="E228" s="29" t="s">
        <v>66</v>
      </c>
      <c r="F228" s="29" t="s">
        <v>67</v>
      </c>
      <c r="G228" s="29" t="s">
        <v>68</v>
      </c>
      <c r="H228" s="27">
        <v>5</v>
      </c>
      <c r="I228" s="30">
        <v>59.99</v>
      </c>
      <c r="J228" s="29" t="s">
        <v>55</v>
      </c>
      <c r="K228" s="29" t="s">
        <v>85</v>
      </c>
      <c r="L228" s="29" t="s">
        <v>62</v>
      </c>
      <c r="M228" s="28">
        <v>45291</v>
      </c>
      <c r="N228" s="30">
        <f t="shared" si="18"/>
        <v>299.95</v>
      </c>
      <c r="O228" s="28">
        <f t="shared" si="19"/>
        <v>45747</v>
      </c>
      <c r="P228" s="27" t="str">
        <f t="shared" si="20"/>
        <v>Mar 2025</v>
      </c>
      <c r="Q228" s="29">
        <f t="shared" ca="1" si="21"/>
        <v>604</v>
      </c>
      <c r="R228" s="29">
        <f t="shared" si="22"/>
        <v>14</v>
      </c>
      <c r="S228" s="27" t="str">
        <f t="shared" si="23"/>
        <v>DG-043</v>
      </c>
      <c r="T228" s="27" t="str">
        <f>IF(AND(K228=Lists_Filter!$J$4,G228=Lists_Filter!$J$5),COUNTIFS(K$2:K228,Lists_Filter!$J$4,G$2:G228,Lists_Filter!$J$5),"")</f>
        <v/>
      </c>
    </row>
    <row r="229" spans="1:20" x14ac:dyDescent="0.3">
      <c r="A229" s="27" t="s">
        <v>409</v>
      </c>
      <c r="B229" s="28">
        <v>45723</v>
      </c>
      <c r="C229" s="29" t="s">
        <v>155</v>
      </c>
      <c r="D229" s="29" t="s">
        <v>156</v>
      </c>
      <c r="E229" s="29" t="s">
        <v>52</v>
      </c>
      <c r="F229" s="29" t="s">
        <v>53</v>
      </c>
      <c r="G229" s="29" t="s">
        <v>54</v>
      </c>
      <c r="H229" s="27">
        <v>5</v>
      </c>
      <c r="I229" s="30">
        <v>249.99</v>
      </c>
      <c r="J229" s="29" t="s">
        <v>55</v>
      </c>
      <c r="K229" s="29" t="s">
        <v>98</v>
      </c>
      <c r="L229" s="29" t="s">
        <v>71</v>
      </c>
      <c r="M229" s="28">
        <v>44540</v>
      </c>
      <c r="N229" s="30">
        <f t="shared" si="18"/>
        <v>1249.95</v>
      </c>
      <c r="O229" s="28">
        <f t="shared" si="19"/>
        <v>45747</v>
      </c>
      <c r="P229" s="27" t="str">
        <f t="shared" si="20"/>
        <v>Mar 2025</v>
      </c>
      <c r="Q229" s="29">
        <f t="shared" ca="1" si="21"/>
        <v>602</v>
      </c>
      <c r="R229" s="29">
        <f t="shared" si="22"/>
        <v>38</v>
      </c>
      <c r="S229" s="27" t="str">
        <f t="shared" si="23"/>
        <v>HR-030</v>
      </c>
      <c r="T229" s="27" t="str">
        <f>IF(AND(K229=Lists_Filter!$J$4,G229=Lists_Filter!$J$5),COUNTIFS(K$2:K229,Lists_Filter!$J$4,G$2:G229,Lists_Filter!$J$5),"")</f>
        <v/>
      </c>
    </row>
    <row r="230" spans="1:20" x14ac:dyDescent="0.3">
      <c r="A230" s="27" t="s">
        <v>410</v>
      </c>
      <c r="B230" s="28">
        <v>45723</v>
      </c>
      <c r="C230" s="29" t="s">
        <v>50</v>
      </c>
      <c r="D230" s="29" t="s">
        <v>51</v>
      </c>
      <c r="E230" s="29" t="s">
        <v>146</v>
      </c>
      <c r="F230" s="29" t="s">
        <v>147</v>
      </c>
      <c r="G230" s="29" t="s">
        <v>54</v>
      </c>
      <c r="H230" s="27">
        <v>2</v>
      </c>
      <c r="I230" s="30">
        <v>89.99</v>
      </c>
      <c r="J230" s="29" t="s">
        <v>61</v>
      </c>
      <c r="K230" s="29" t="s">
        <v>85</v>
      </c>
      <c r="L230" s="29" t="s">
        <v>62</v>
      </c>
      <c r="M230" s="28">
        <v>45295</v>
      </c>
      <c r="N230" s="30">
        <f t="shared" si="18"/>
        <v>179.98</v>
      </c>
      <c r="O230" s="28">
        <f t="shared" si="19"/>
        <v>45747</v>
      </c>
      <c r="P230" s="27" t="str">
        <f t="shared" si="20"/>
        <v>Mar 2025</v>
      </c>
      <c r="Q230" s="29">
        <f t="shared" ca="1" si="21"/>
        <v>602</v>
      </c>
      <c r="R230" s="29">
        <f t="shared" si="22"/>
        <v>14</v>
      </c>
      <c r="S230" s="27" t="str">
        <f t="shared" si="23"/>
        <v>PB-023</v>
      </c>
      <c r="T230" s="27" t="str">
        <f>IF(AND(K230=Lists_Filter!$J$4,G230=Lists_Filter!$J$5),COUNTIFS(K$2:K230,Lists_Filter!$J$4,G$2:G230,Lists_Filter!$J$5),"")</f>
        <v/>
      </c>
    </row>
    <row r="231" spans="1:20" x14ac:dyDescent="0.3">
      <c r="A231" s="27" t="s">
        <v>411</v>
      </c>
      <c r="B231" s="28">
        <v>45724</v>
      </c>
      <c r="C231" s="29" t="s">
        <v>179</v>
      </c>
      <c r="D231" s="29" t="s">
        <v>180</v>
      </c>
      <c r="E231" s="29" t="s">
        <v>96</v>
      </c>
      <c r="F231" s="29" t="s">
        <v>97</v>
      </c>
      <c r="G231" s="29" t="s">
        <v>54</v>
      </c>
      <c r="H231" s="27">
        <v>5</v>
      </c>
      <c r="I231" s="30">
        <v>899.99</v>
      </c>
      <c r="J231" s="29" t="s">
        <v>69</v>
      </c>
      <c r="K231" s="29" t="s">
        <v>98</v>
      </c>
      <c r="L231" s="29" t="s">
        <v>62</v>
      </c>
      <c r="M231" s="28">
        <v>45389</v>
      </c>
      <c r="N231" s="30">
        <f t="shared" si="18"/>
        <v>4499.95</v>
      </c>
      <c r="O231" s="28">
        <f t="shared" si="19"/>
        <v>45747</v>
      </c>
      <c r="P231" s="27" t="str">
        <f t="shared" si="20"/>
        <v>Mar 2025</v>
      </c>
      <c r="Q231" s="29">
        <f t="shared" ca="1" si="21"/>
        <v>601</v>
      </c>
      <c r="R231" s="29">
        <f t="shared" si="22"/>
        <v>11</v>
      </c>
      <c r="S231" s="27" t="str">
        <f t="shared" si="23"/>
        <v>HM-035</v>
      </c>
      <c r="T231" s="27" t="str">
        <f>IF(AND(K231=Lists_Filter!$J$4,G231=Lists_Filter!$J$5),COUNTIFS(K$2:K231,Lists_Filter!$J$4,G$2:G231,Lists_Filter!$J$5),"")</f>
        <v/>
      </c>
    </row>
    <row r="232" spans="1:20" x14ac:dyDescent="0.3">
      <c r="A232" s="27" t="s">
        <v>412</v>
      </c>
      <c r="B232" s="28">
        <v>45724</v>
      </c>
      <c r="C232" s="29" t="s">
        <v>261</v>
      </c>
      <c r="D232" s="29" t="s">
        <v>262</v>
      </c>
      <c r="E232" s="29" t="s">
        <v>79</v>
      </c>
      <c r="F232" s="29" t="s">
        <v>80</v>
      </c>
      <c r="G232" s="29" t="s">
        <v>81</v>
      </c>
      <c r="H232" s="27">
        <v>2</v>
      </c>
      <c r="I232" s="30">
        <v>149.99</v>
      </c>
      <c r="J232" s="29" t="s">
        <v>69</v>
      </c>
      <c r="K232" s="29" t="s">
        <v>56</v>
      </c>
      <c r="L232" s="29" t="s">
        <v>62</v>
      </c>
      <c r="M232" s="28">
        <v>44632</v>
      </c>
      <c r="N232" s="30">
        <f t="shared" si="18"/>
        <v>299.98</v>
      </c>
      <c r="O232" s="28">
        <f t="shared" si="19"/>
        <v>45747</v>
      </c>
      <c r="P232" s="27" t="str">
        <f t="shared" si="20"/>
        <v>Mar 2025</v>
      </c>
      <c r="Q232" s="29">
        <f t="shared" ca="1" si="21"/>
        <v>601</v>
      </c>
      <c r="R232" s="29">
        <f t="shared" si="22"/>
        <v>35</v>
      </c>
      <c r="S232" s="27" t="str">
        <f t="shared" si="23"/>
        <v>LR-039</v>
      </c>
      <c r="T232" s="27" t="str">
        <f>IF(AND(K232=Lists_Filter!$J$4,G232=Lists_Filter!$J$5),COUNTIFS(K$2:K232,Lists_Filter!$J$4,G$2:G232,Lists_Filter!$J$5),"")</f>
        <v/>
      </c>
    </row>
    <row r="233" spans="1:20" x14ac:dyDescent="0.3">
      <c r="A233" s="27" t="s">
        <v>413</v>
      </c>
      <c r="B233" s="28">
        <v>45724</v>
      </c>
      <c r="C233" s="29" t="s">
        <v>90</v>
      </c>
      <c r="D233" s="29" t="s">
        <v>91</v>
      </c>
      <c r="E233" s="29" t="s">
        <v>79</v>
      </c>
      <c r="F233" s="29" t="s">
        <v>80</v>
      </c>
      <c r="G233" s="29" t="s">
        <v>81</v>
      </c>
      <c r="H233" s="27">
        <v>4</v>
      </c>
      <c r="I233" s="30">
        <v>149.99</v>
      </c>
      <c r="J233" s="29" t="s">
        <v>55</v>
      </c>
      <c r="K233" s="29" t="s">
        <v>56</v>
      </c>
      <c r="L233" s="29" t="s">
        <v>71</v>
      </c>
      <c r="M233" s="28">
        <v>45263</v>
      </c>
      <c r="N233" s="30">
        <f t="shared" si="18"/>
        <v>599.96</v>
      </c>
      <c r="O233" s="28">
        <f t="shared" si="19"/>
        <v>45747</v>
      </c>
      <c r="P233" s="27" t="str">
        <f t="shared" si="20"/>
        <v>Mar 2025</v>
      </c>
      <c r="Q233" s="29">
        <f t="shared" ca="1" si="21"/>
        <v>601</v>
      </c>
      <c r="R233" s="29">
        <f t="shared" si="22"/>
        <v>15</v>
      </c>
      <c r="S233" s="27" t="str">
        <f t="shared" si="23"/>
        <v>CA-017</v>
      </c>
      <c r="T233" s="27" t="str">
        <f>IF(AND(K233=Lists_Filter!$J$4,G233=Lists_Filter!$J$5),COUNTIFS(K$2:K233,Lists_Filter!$J$4,G$2:G233,Lists_Filter!$J$5),"")</f>
        <v/>
      </c>
    </row>
    <row r="234" spans="1:20" x14ac:dyDescent="0.3">
      <c r="A234" s="27" t="s">
        <v>414</v>
      </c>
      <c r="B234" s="28">
        <v>45726</v>
      </c>
      <c r="C234" s="29" t="s">
        <v>179</v>
      </c>
      <c r="D234" s="29" t="s">
        <v>180</v>
      </c>
      <c r="E234" s="29" t="s">
        <v>52</v>
      </c>
      <c r="F234" s="29" t="s">
        <v>53</v>
      </c>
      <c r="G234" s="29" t="s">
        <v>54</v>
      </c>
      <c r="H234" s="27">
        <v>1</v>
      </c>
      <c r="I234" s="30">
        <v>249.99</v>
      </c>
      <c r="J234" s="29" t="s">
        <v>55</v>
      </c>
      <c r="K234" s="29" t="s">
        <v>75</v>
      </c>
      <c r="L234" s="29" t="s">
        <v>71</v>
      </c>
      <c r="M234" s="28">
        <v>45117</v>
      </c>
      <c r="N234" s="30">
        <f t="shared" si="18"/>
        <v>249.99</v>
      </c>
      <c r="O234" s="28">
        <f t="shared" si="19"/>
        <v>45747</v>
      </c>
      <c r="P234" s="27" t="str">
        <f t="shared" si="20"/>
        <v>Mar 2025</v>
      </c>
      <c r="Q234" s="29">
        <f t="shared" ca="1" si="21"/>
        <v>599</v>
      </c>
      <c r="R234" s="29">
        <f t="shared" si="22"/>
        <v>20</v>
      </c>
      <c r="S234" s="27" t="str">
        <f t="shared" si="23"/>
        <v>HM-035</v>
      </c>
      <c r="T234" s="29">
        <f>IF(AND(K234=Lists_Filter!$J$4,G234=Lists_Filter!$J$5),COUNTIFS(K$2:K234,Lists_Filter!$J$4,G$2:G234,Lists_Filter!$J$5),"")</f>
        <v>31</v>
      </c>
    </row>
    <row r="235" spans="1:20" x14ac:dyDescent="0.3">
      <c r="A235" s="27" t="s">
        <v>415</v>
      </c>
      <c r="B235" s="28">
        <v>45734</v>
      </c>
      <c r="C235" s="29" t="s">
        <v>227</v>
      </c>
      <c r="D235" s="29" t="s">
        <v>228</v>
      </c>
      <c r="E235" s="29" t="s">
        <v>66</v>
      </c>
      <c r="F235" s="29" t="s">
        <v>67</v>
      </c>
      <c r="G235" s="29" t="s">
        <v>68</v>
      </c>
      <c r="H235" s="27">
        <v>2</v>
      </c>
      <c r="I235" s="30">
        <v>59.99</v>
      </c>
      <c r="J235" s="29" t="s">
        <v>61</v>
      </c>
      <c r="K235" s="29" t="s">
        <v>85</v>
      </c>
      <c r="L235" s="29" t="s">
        <v>57</v>
      </c>
      <c r="M235" s="28">
        <v>45193</v>
      </c>
      <c r="N235" s="30">
        <f t="shared" si="18"/>
        <v>119.98</v>
      </c>
      <c r="O235" s="28">
        <f t="shared" si="19"/>
        <v>45747</v>
      </c>
      <c r="P235" s="27" t="str">
        <f t="shared" si="20"/>
        <v>Mar 2025</v>
      </c>
      <c r="Q235" s="29">
        <f t="shared" ca="1" si="21"/>
        <v>591</v>
      </c>
      <c r="R235" s="29">
        <f t="shared" si="22"/>
        <v>17</v>
      </c>
      <c r="S235" s="27" t="str">
        <f t="shared" si="23"/>
        <v>FT-033</v>
      </c>
      <c r="T235" s="27" t="str">
        <f>IF(AND(K235=Lists_Filter!$J$4,G235=Lists_Filter!$J$5),COUNTIFS(K$2:K235,Lists_Filter!$J$4,G$2:G235,Lists_Filter!$J$5),"")</f>
        <v/>
      </c>
    </row>
    <row r="236" spans="1:20" x14ac:dyDescent="0.3">
      <c r="A236" s="27" t="s">
        <v>416</v>
      </c>
      <c r="B236" s="28">
        <v>45737</v>
      </c>
      <c r="C236" s="29" t="s">
        <v>167</v>
      </c>
      <c r="D236" s="29" t="s">
        <v>168</v>
      </c>
      <c r="E236" s="29" t="s">
        <v>79</v>
      </c>
      <c r="F236" s="29" t="s">
        <v>80</v>
      </c>
      <c r="G236" s="29" t="s">
        <v>81</v>
      </c>
      <c r="H236" s="27">
        <v>2</v>
      </c>
      <c r="I236" s="30">
        <v>149.99</v>
      </c>
      <c r="J236" s="29" t="s">
        <v>55</v>
      </c>
      <c r="K236" s="29" t="s">
        <v>85</v>
      </c>
      <c r="L236" s="29" t="s">
        <v>62</v>
      </c>
      <c r="M236" s="28">
        <v>45233</v>
      </c>
      <c r="N236" s="30">
        <f t="shared" si="18"/>
        <v>299.98</v>
      </c>
      <c r="O236" s="28">
        <f t="shared" si="19"/>
        <v>45747</v>
      </c>
      <c r="P236" s="27" t="str">
        <f t="shared" si="20"/>
        <v>Mar 2025</v>
      </c>
      <c r="Q236" s="29">
        <f t="shared" ca="1" si="21"/>
        <v>588</v>
      </c>
      <c r="R236" s="29">
        <f t="shared" si="22"/>
        <v>16</v>
      </c>
      <c r="S236" s="27" t="str">
        <f t="shared" si="23"/>
        <v>EW-002</v>
      </c>
      <c r="T236" s="27" t="str">
        <f>IF(AND(K236=Lists_Filter!$J$4,G236=Lists_Filter!$J$5),COUNTIFS(K$2:K236,Lists_Filter!$J$4,G$2:G236,Lists_Filter!$J$5),"")</f>
        <v/>
      </c>
    </row>
    <row r="237" spans="1:20" x14ac:dyDescent="0.3">
      <c r="A237" s="27" t="s">
        <v>417</v>
      </c>
      <c r="B237" s="28">
        <v>45737</v>
      </c>
      <c r="C237" s="29" t="s">
        <v>83</v>
      </c>
      <c r="D237" s="29" t="s">
        <v>84</v>
      </c>
      <c r="E237" s="29" t="s">
        <v>96</v>
      </c>
      <c r="F237" s="29" t="s">
        <v>97</v>
      </c>
      <c r="G237" s="29" t="s">
        <v>54</v>
      </c>
      <c r="H237" s="27">
        <v>3</v>
      </c>
      <c r="I237" s="30">
        <v>899.99</v>
      </c>
      <c r="J237" s="29" t="s">
        <v>69</v>
      </c>
      <c r="K237" s="29" t="s">
        <v>75</v>
      </c>
      <c r="L237" s="29" t="s">
        <v>57</v>
      </c>
      <c r="M237" s="28">
        <v>44975</v>
      </c>
      <c r="N237" s="30">
        <f t="shared" si="18"/>
        <v>2699.9700000000003</v>
      </c>
      <c r="O237" s="28">
        <f t="shared" si="19"/>
        <v>45747</v>
      </c>
      <c r="P237" s="27" t="str">
        <f t="shared" si="20"/>
        <v>Mar 2025</v>
      </c>
      <c r="Q237" s="29">
        <f t="shared" ca="1" si="21"/>
        <v>588</v>
      </c>
      <c r="R237" s="29">
        <f t="shared" si="22"/>
        <v>25</v>
      </c>
      <c r="S237" s="27" t="str">
        <f t="shared" si="23"/>
        <v>DN-024</v>
      </c>
      <c r="T237" s="29">
        <f>IF(AND(K237=Lists_Filter!$J$4,G237=Lists_Filter!$J$5),COUNTIFS(K$2:K237,Lists_Filter!$J$4,G$2:G237,Lists_Filter!$J$5),"")</f>
        <v>32</v>
      </c>
    </row>
    <row r="238" spans="1:20" x14ac:dyDescent="0.3">
      <c r="A238" s="27" t="s">
        <v>418</v>
      </c>
      <c r="B238" s="28">
        <v>45737</v>
      </c>
      <c r="C238" s="29" t="s">
        <v>186</v>
      </c>
      <c r="D238" s="29" t="s">
        <v>187</v>
      </c>
      <c r="E238" s="29" t="s">
        <v>96</v>
      </c>
      <c r="F238" s="29" t="s">
        <v>97</v>
      </c>
      <c r="G238" s="29" t="s">
        <v>54</v>
      </c>
      <c r="H238" s="27">
        <v>3</v>
      </c>
      <c r="I238" s="30">
        <v>899.99</v>
      </c>
      <c r="J238" s="29" t="s">
        <v>92</v>
      </c>
      <c r="K238" s="29" t="s">
        <v>75</v>
      </c>
      <c r="L238" s="29" t="s">
        <v>62</v>
      </c>
      <c r="M238" s="28">
        <v>44876</v>
      </c>
      <c r="N238" s="30">
        <f t="shared" si="18"/>
        <v>2699.9700000000003</v>
      </c>
      <c r="O238" s="28">
        <f t="shared" si="19"/>
        <v>45747</v>
      </c>
      <c r="P238" s="27" t="str">
        <f t="shared" si="20"/>
        <v>Mar 2025</v>
      </c>
      <c r="Q238" s="29">
        <f t="shared" ca="1" si="21"/>
        <v>588</v>
      </c>
      <c r="R238" s="29">
        <f t="shared" si="22"/>
        <v>28</v>
      </c>
      <c r="S238" s="27" t="str">
        <f t="shared" si="23"/>
        <v>SB-040</v>
      </c>
      <c r="T238" s="29">
        <f>IF(AND(K238=Lists_Filter!$J$4,G238=Lists_Filter!$J$5),COUNTIFS(K$2:K238,Lists_Filter!$J$4,G$2:G238,Lists_Filter!$J$5),"")</f>
        <v>33</v>
      </c>
    </row>
    <row r="239" spans="1:20" x14ac:dyDescent="0.3">
      <c r="A239" s="27" t="s">
        <v>419</v>
      </c>
      <c r="B239" s="28">
        <v>45739</v>
      </c>
      <c r="C239" s="29" t="s">
        <v>50</v>
      </c>
      <c r="D239" s="29" t="s">
        <v>51</v>
      </c>
      <c r="E239" s="29" t="s">
        <v>140</v>
      </c>
      <c r="F239" s="29" t="s">
        <v>141</v>
      </c>
      <c r="G239" s="29" t="s">
        <v>81</v>
      </c>
      <c r="H239" s="27">
        <v>3</v>
      </c>
      <c r="I239" s="30">
        <v>299.99</v>
      </c>
      <c r="J239" s="29" t="s">
        <v>61</v>
      </c>
      <c r="K239" s="29" t="s">
        <v>85</v>
      </c>
      <c r="L239" s="29" t="s">
        <v>62</v>
      </c>
      <c r="M239" s="28">
        <v>45234</v>
      </c>
      <c r="N239" s="30">
        <f t="shared" si="18"/>
        <v>899.97</v>
      </c>
      <c r="O239" s="28">
        <f t="shared" si="19"/>
        <v>45747</v>
      </c>
      <c r="P239" s="27" t="str">
        <f t="shared" si="20"/>
        <v>Mar 2025</v>
      </c>
      <c r="Q239" s="29">
        <f t="shared" ca="1" si="21"/>
        <v>586</v>
      </c>
      <c r="R239" s="29">
        <f t="shared" si="22"/>
        <v>16</v>
      </c>
      <c r="S239" s="27" t="str">
        <f t="shared" si="23"/>
        <v>PB-023</v>
      </c>
      <c r="T239" s="27" t="str">
        <f>IF(AND(K239=Lists_Filter!$J$4,G239=Lists_Filter!$J$5),COUNTIFS(K$2:K239,Lists_Filter!$J$4,G$2:G239,Lists_Filter!$J$5),"")</f>
        <v/>
      </c>
    </row>
    <row r="240" spans="1:20" x14ac:dyDescent="0.3">
      <c r="A240" s="27" t="s">
        <v>420</v>
      </c>
      <c r="B240" s="28">
        <v>45740</v>
      </c>
      <c r="C240" s="29" t="s">
        <v>421</v>
      </c>
      <c r="D240" s="29" t="s">
        <v>422</v>
      </c>
      <c r="E240" s="29" t="s">
        <v>79</v>
      </c>
      <c r="F240" s="29" t="s">
        <v>80</v>
      </c>
      <c r="G240" s="29" t="s">
        <v>81</v>
      </c>
      <c r="H240" s="27">
        <v>4</v>
      </c>
      <c r="I240" s="30">
        <v>149.99</v>
      </c>
      <c r="J240" s="29" t="s">
        <v>69</v>
      </c>
      <c r="K240" s="29" t="s">
        <v>85</v>
      </c>
      <c r="L240" s="29" t="s">
        <v>71</v>
      </c>
      <c r="M240" s="28">
        <v>44560</v>
      </c>
      <c r="N240" s="30">
        <f t="shared" si="18"/>
        <v>599.96</v>
      </c>
      <c r="O240" s="28">
        <f t="shared" si="19"/>
        <v>45747</v>
      </c>
      <c r="P240" s="27" t="str">
        <f t="shared" si="20"/>
        <v>Mar 2025</v>
      </c>
      <c r="Q240" s="29">
        <f t="shared" ca="1" si="21"/>
        <v>585</v>
      </c>
      <c r="R240" s="29">
        <f t="shared" si="22"/>
        <v>38</v>
      </c>
      <c r="S240" s="27" t="str">
        <f t="shared" si="23"/>
        <v>JS-001</v>
      </c>
      <c r="T240" s="27" t="str">
        <f>IF(AND(K240=Lists_Filter!$J$4,G240=Lists_Filter!$J$5),COUNTIFS(K$2:K240,Lists_Filter!$J$4,G$2:G240,Lists_Filter!$J$5),"")</f>
        <v/>
      </c>
    </row>
    <row r="241" spans="1:20" x14ac:dyDescent="0.3">
      <c r="A241" s="27" t="s">
        <v>423</v>
      </c>
      <c r="B241" s="28">
        <v>45743</v>
      </c>
      <c r="C241" s="29" t="s">
        <v>137</v>
      </c>
      <c r="D241" s="29" t="s">
        <v>138</v>
      </c>
      <c r="E241" s="29" t="s">
        <v>152</v>
      </c>
      <c r="F241" s="29" t="s">
        <v>153</v>
      </c>
      <c r="G241" s="29" t="s">
        <v>68</v>
      </c>
      <c r="H241" s="27">
        <v>4</v>
      </c>
      <c r="I241" s="30">
        <v>79.989999999999995</v>
      </c>
      <c r="J241" s="29" t="s">
        <v>61</v>
      </c>
      <c r="K241" s="29" t="s">
        <v>56</v>
      </c>
      <c r="L241" s="29" t="s">
        <v>57</v>
      </c>
      <c r="M241" s="28">
        <v>45288</v>
      </c>
      <c r="N241" s="30">
        <f t="shared" si="18"/>
        <v>319.95999999999998</v>
      </c>
      <c r="O241" s="28">
        <f t="shared" si="19"/>
        <v>45747</v>
      </c>
      <c r="P241" s="27" t="str">
        <f t="shared" si="20"/>
        <v>Mar 2025</v>
      </c>
      <c r="Q241" s="29">
        <f t="shared" ca="1" si="21"/>
        <v>582</v>
      </c>
      <c r="R241" s="29">
        <f t="shared" si="22"/>
        <v>14</v>
      </c>
      <c r="S241" s="27" t="str">
        <f t="shared" si="23"/>
        <v>CP-044</v>
      </c>
      <c r="T241" s="27" t="str">
        <f>IF(AND(K241=Lists_Filter!$J$4,G241=Lists_Filter!$J$5),COUNTIFS(K$2:K241,Lists_Filter!$J$4,G$2:G241,Lists_Filter!$J$5),"")</f>
        <v/>
      </c>
    </row>
    <row r="242" spans="1:20" x14ac:dyDescent="0.3">
      <c r="A242" s="27" t="s">
        <v>424</v>
      </c>
      <c r="B242" s="28">
        <v>45745</v>
      </c>
      <c r="C242" s="29" t="s">
        <v>220</v>
      </c>
      <c r="D242" s="29" t="s">
        <v>221</v>
      </c>
      <c r="E242" s="29" t="s">
        <v>146</v>
      </c>
      <c r="F242" s="29" t="s">
        <v>147</v>
      </c>
      <c r="G242" s="29" t="s">
        <v>54</v>
      </c>
      <c r="H242" s="27">
        <v>5</v>
      </c>
      <c r="I242" s="30">
        <v>89.99</v>
      </c>
      <c r="J242" s="29" t="s">
        <v>69</v>
      </c>
      <c r="K242" s="29" t="s">
        <v>70</v>
      </c>
      <c r="L242" s="29" t="s">
        <v>57</v>
      </c>
      <c r="M242" s="28">
        <v>44704</v>
      </c>
      <c r="N242" s="30">
        <f t="shared" si="18"/>
        <v>449.95</v>
      </c>
      <c r="O242" s="28">
        <f t="shared" si="19"/>
        <v>45747</v>
      </c>
      <c r="P242" s="27" t="str">
        <f t="shared" si="20"/>
        <v>Mar 2025</v>
      </c>
      <c r="Q242" s="29">
        <f t="shared" ca="1" si="21"/>
        <v>580</v>
      </c>
      <c r="R242" s="29">
        <f t="shared" si="22"/>
        <v>34</v>
      </c>
      <c r="S242" s="27" t="str">
        <f t="shared" si="23"/>
        <v>MW-020</v>
      </c>
      <c r="T242" s="27" t="str">
        <f>IF(AND(K242=Lists_Filter!$J$4,G242=Lists_Filter!$J$5),COUNTIFS(K$2:K242,Lists_Filter!$J$4,G$2:G242,Lists_Filter!$J$5),"")</f>
        <v/>
      </c>
    </row>
    <row r="243" spans="1:20" x14ac:dyDescent="0.3">
      <c r="A243" s="27" t="s">
        <v>425</v>
      </c>
      <c r="B243" s="28">
        <v>45746</v>
      </c>
      <c r="C243" s="29" t="s">
        <v>128</v>
      </c>
      <c r="D243" s="29" t="s">
        <v>129</v>
      </c>
      <c r="E243" s="29" t="s">
        <v>79</v>
      </c>
      <c r="F243" s="29" t="s">
        <v>80</v>
      </c>
      <c r="G243" s="29" t="s">
        <v>81</v>
      </c>
      <c r="H243" s="27">
        <v>3</v>
      </c>
      <c r="I243" s="30">
        <v>149.99</v>
      </c>
      <c r="J243" s="29" t="s">
        <v>69</v>
      </c>
      <c r="K243" s="29" t="s">
        <v>56</v>
      </c>
      <c r="L243" s="29" t="s">
        <v>71</v>
      </c>
      <c r="M243" s="28">
        <v>45171</v>
      </c>
      <c r="N243" s="30">
        <f t="shared" si="18"/>
        <v>449.97</v>
      </c>
      <c r="O243" s="28">
        <f t="shared" si="19"/>
        <v>45747</v>
      </c>
      <c r="P243" s="27" t="str">
        <f t="shared" si="20"/>
        <v>Mar 2025</v>
      </c>
      <c r="Q243" s="29">
        <f t="shared" ca="1" si="21"/>
        <v>579</v>
      </c>
      <c r="R243" s="29">
        <f t="shared" si="22"/>
        <v>18</v>
      </c>
      <c r="S243" s="27" t="str">
        <f t="shared" si="23"/>
        <v>VS-048</v>
      </c>
      <c r="T243" s="27" t="str">
        <f>IF(AND(K243=Lists_Filter!$J$4,G243=Lists_Filter!$J$5),COUNTIFS(K$2:K243,Lists_Filter!$J$4,G$2:G243,Lists_Filter!$J$5),"")</f>
        <v/>
      </c>
    </row>
    <row r="244" spans="1:20" x14ac:dyDescent="0.3">
      <c r="A244" s="27" t="s">
        <v>426</v>
      </c>
      <c r="B244" s="28">
        <v>45746</v>
      </c>
      <c r="C244" s="29" t="s">
        <v>103</v>
      </c>
      <c r="D244" s="29" t="s">
        <v>104</v>
      </c>
      <c r="E244" s="29" t="s">
        <v>146</v>
      </c>
      <c r="F244" s="29" t="s">
        <v>147</v>
      </c>
      <c r="G244" s="29" t="s">
        <v>54</v>
      </c>
      <c r="H244" s="27">
        <v>2</v>
      </c>
      <c r="I244" s="30">
        <v>89.99</v>
      </c>
      <c r="J244" s="29" t="s">
        <v>92</v>
      </c>
      <c r="K244" s="29" t="s">
        <v>85</v>
      </c>
      <c r="L244" s="29" t="s">
        <v>62</v>
      </c>
      <c r="M244" s="28">
        <v>44522</v>
      </c>
      <c r="N244" s="30">
        <f t="shared" si="18"/>
        <v>179.98</v>
      </c>
      <c r="O244" s="28">
        <f t="shared" si="19"/>
        <v>45747</v>
      </c>
      <c r="P244" s="27" t="str">
        <f t="shared" si="20"/>
        <v>Mar 2025</v>
      </c>
      <c r="Q244" s="29">
        <f t="shared" ca="1" si="21"/>
        <v>579</v>
      </c>
      <c r="R244" s="29">
        <f t="shared" si="22"/>
        <v>40</v>
      </c>
      <c r="S244" s="27" t="str">
        <f t="shared" si="23"/>
        <v>KH-026</v>
      </c>
      <c r="T244" s="27" t="str">
        <f>IF(AND(K244=Lists_Filter!$J$4,G244=Lists_Filter!$J$5),COUNTIFS(K$2:K244,Lists_Filter!$J$4,G$2:G244,Lists_Filter!$J$5),"")</f>
        <v/>
      </c>
    </row>
    <row r="245" spans="1:20" x14ac:dyDescent="0.3">
      <c r="A245" s="27" t="s">
        <v>427</v>
      </c>
      <c r="B245" s="28">
        <v>45748</v>
      </c>
      <c r="C245" s="29" t="s">
        <v>137</v>
      </c>
      <c r="D245" s="29" t="s">
        <v>138</v>
      </c>
      <c r="E245" s="29" t="s">
        <v>115</v>
      </c>
      <c r="F245" s="29" t="s">
        <v>116</v>
      </c>
      <c r="G245" s="29" t="s">
        <v>54</v>
      </c>
      <c r="H245" s="27">
        <v>2</v>
      </c>
      <c r="I245" s="30">
        <v>699.99</v>
      </c>
      <c r="J245" s="29" t="s">
        <v>69</v>
      </c>
      <c r="K245" s="29" t="s">
        <v>75</v>
      </c>
      <c r="L245" s="29" t="s">
        <v>71</v>
      </c>
      <c r="M245" s="28">
        <v>44618</v>
      </c>
      <c r="N245" s="30">
        <f t="shared" si="18"/>
        <v>1399.98</v>
      </c>
      <c r="O245" s="28">
        <f t="shared" si="19"/>
        <v>45777</v>
      </c>
      <c r="P245" s="27" t="str">
        <f t="shared" si="20"/>
        <v>Apr 2025</v>
      </c>
      <c r="Q245" s="29">
        <f t="shared" ca="1" si="21"/>
        <v>577</v>
      </c>
      <c r="R245" s="29">
        <f t="shared" si="22"/>
        <v>37</v>
      </c>
      <c r="S245" s="27" t="str">
        <f t="shared" si="23"/>
        <v>CP-044</v>
      </c>
      <c r="T245" s="29">
        <f>IF(AND(K245=Lists_Filter!$J$4,G245=Lists_Filter!$J$5),COUNTIFS(K$2:K245,Lists_Filter!$J$4,G$2:G245,Lists_Filter!$J$5),"")</f>
        <v>34</v>
      </c>
    </row>
    <row r="246" spans="1:20" x14ac:dyDescent="0.3">
      <c r="A246" s="27" t="s">
        <v>428</v>
      </c>
      <c r="B246" s="28">
        <v>45749</v>
      </c>
      <c r="C246" s="29" t="s">
        <v>161</v>
      </c>
      <c r="D246" s="29" t="s">
        <v>162</v>
      </c>
      <c r="E246" s="29" t="s">
        <v>96</v>
      </c>
      <c r="F246" s="29" t="s">
        <v>97</v>
      </c>
      <c r="G246" s="29" t="s">
        <v>54</v>
      </c>
      <c r="H246" s="27">
        <v>3</v>
      </c>
      <c r="I246" s="30">
        <v>899.99</v>
      </c>
      <c r="J246" s="29" t="s">
        <v>55</v>
      </c>
      <c r="K246" s="29" t="s">
        <v>56</v>
      </c>
      <c r="L246" s="29" t="s">
        <v>71</v>
      </c>
      <c r="M246" s="28">
        <v>44953</v>
      </c>
      <c r="N246" s="30">
        <f t="shared" si="18"/>
        <v>2699.9700000000003</v>
      </c>
      <c r="O246" s="28">
        <f t="shared" si="19"/>
        <v>45777</v>
      </c>
      <c r="P246" s="27" t="str">
        <f t="shared" si="20"/>
        <v>Apr 2025</v>
      </c>
      <c r="Q246" s="29">
        <f t="shared" ca="1" si="21"/>
        <v>576</v>
      </c>
      <c r="R246" s="29">
        <f t="shared" si="22"/>
        <v>26</v>
      </c>
      <c r="S246" s="27" t="str">
        <f t="shared" si="23"/>
        <v>EM-029</v>
      </c>
      <c r="T246" s="27" t="str">
        <f>IF(AND(K246=Lists_Filter!$J$4,G246=Lists_Filter!$J$5),COUNTIFS(K$2:K246,Lists_Filter!$J$4,G$2:G246,Lists_Filter!$J$5),"")</f>
        <v/>
      </c>
    </row>
    <row r="247" spans="1:20" x14ac:dyDescent="0.3">
      <c r="A247" s="27" t="s">
        <v>429</v>
      </c>
      <c r="B247" s="28">
        <v>45755</v>
      </c>
      <c r="C247" s="29" t="s">
        <v>128</v>
      </c>
      <c r="D247" s="29" t="s">
        <v>129</v>
      </c>
      <c r="E247" s="29" t="s">
        <v>152</v>
      </c>
      <c r="F247" s="29" t="s">
        <v>153</v>
      </c>
      <c r="G247" s="29" t="s">
        <v>68</v>
      </c>
      <c r="H247" s="27">
        <v>3</v>
      </c>
      <c r="I247" s="30">
        <v>79.989999999999995</v>
      </c>
      <c r="J247" s="29" t="s">
        <v>61</v>
      </c>
      <c r="K247" s="29" t="s">
        <v>75</v>
      </c>
      <c r="L247" s="29" t="s">
        <v>57</v>
      </c>
      <c r="M247" s="28">
        <v>44511</v>
      </c>
      <c r="N247" s="30">
        <f t="shared" si="18"/>
        <v>239.96999999999997</v>
      </c>
      <c r="O247" s="28">
        <f t="shared" si="19"/>
        <v>45777</v>
      </c>
      <c r="P247" s="27" t="str">
        <f t="shared" si="20"/>
        <v>Apr 2025</v>
      </c>
      <c r="Q247" s="29">
        <f t="shared" ca="1" si="21"/>
        <v>570</v>
      </c>
      <c r="R247" s="29">
        <f t="shared" si="22"/>
        <v>40</v>
      </c>
      <c r="S247" s="27" t="str">
        <f t="shared" si="23"/>
        <v>VS-048</v>
      </c>
      <c r="T247" s="27" t="str">
        <f>IF(AND(K247=Lists_Filter!$J$4,G247=Lists_Filter!$J$5),COUNTIFS(K$2:K247,Lists_Filter!$J$4,G$2:G247,Lists_Filter!$J$5),"")</f>
        <v/>
      </c>
    </row>
    <row r="248" spans="1:20" x14ac:dyDescent="0.3">
      <c r="A248" s="27" t="s">
        <v>430</v>
      </c>
      <c r="B248" s="28">
        <v>45756</v>
      </c>
      <c r="C248" s="29" t="s">
        <v>94</v>
      </c>
      <c r="D248" s="29" t="s">
        <v>95</v>
      </c>
      <c r="E248" s="29" t="s">
        <v>146</v>
      </c>
      <c r="F248" s="29" t="s">
        <v>147</v>
      </c>
      <c r="G248" s="29" t="s">
        <v>54</v>
      </c>
      <c r="H248" s="27">
        <v>1</v>
      </c>
      <c r="I248" s="30">
        <v>89.99</v>
      </c>
      <c r="J248" s="29" t="s">
        <v>92</v>
      </c>
      <c r="K248" s="29" t="s">
        <v>98</v>
      </c>
      <c r="L248" s="29" t="s">
        <v>57</v>
      </c>
      <c r="M248" s="28">
        <v>45346</v>
      </c>
      <c r="N248" s="30">
        <f t="shared" si="18"/>
        <v>89.99</v>
      </c>
      <c r="O248" s="28">
        <f t="shared" si="19"/>
        <v>45777</v>
      </c>
      <c r="P248" s="27" t="str">
        <f t="shared" si="20"/>
        <v>Apr 2025</v>
      </c>
      <c r="Q248" s="29">
        <f t="shared" ca="1" si="21"/>
        <v>569</v>
      </c>
      <c r="R248" s="29">
        <f t="shared" si="22"/>
        <v>13</v>
      </c>
      <c r="S248" s="27" t="str">
        <f t="shared" si="23"/>
        <v>RT-009</v>
      </c>
      <c r="T248" s="27" t="str">
        <f>IF(AND(K248=Lists_Filter!$J$4,G248=Lists_Filter!$J$5),COUNTIFS(K$2:K248,Lists_Filter!$J$4,G$2:G248,Lists_Filter!$J$5),"")</f>
        <v/>
      </c>
    </row>
    <row r="249" spans="1:20" x14ac:dyDescent="0.3">
      <c r="A249" s="27" t="s">
        <v>431</v>
      </c>
      <c r="B249" s="28">
        <v>45758</v>
      </c>
      <c r="C249" s="29" t="s">
        <v>173</v>
      </c>
      <c r="D249" s="29" t="s">
        <v>174</v>
      </c>
      <c r="E249" s="29" t="s">
        <v>146</v>
      </c>
      <c r="F249" s="29" t="s">
        <v>147</v>
      </c>
      <c r="G249" s="29" t="s">
        <v>54</v>
      </c>
      <c r="H249" s="27">
        <v>3</v>
      </c>
      <c r="I249" s="30">
        <v>89.99</v>
      </c>
      <c r="J249" s="29" t="s">
        <v>92</v>
      </c>
      <c r="K249" s="29" t="s">
        <v>75</v>
      </c>
      <c r="L249" s="29" t="s">
        <v>62</v>
      </c>
      <c r="M249" s="28">
        <v>44878</v>
      </c>
      <c r="N249" s="30">
        <f t="shared" si="18"/>
        <v>269.96999999999997</v>
      </c>
      <c r="O249" s="28">
        <f t="shared" si="19"/>
        <v>45777</v>
      </c>
      <c r="P249" s="27" t="str">
        <f t="shared" si="20"/>
        <v>Apr 2025</v>
      </c>
      <c r="Q249" s="29">
        <f t="shared" ca="1" si="21"/>
        <v>567</v>
      </c>
      <c r="R249" s="29">
        <f t="shared" si="22"/>
        <v>28</v>
      </c>
      <c r="S249" s="27" t="str">
        <f t="shared" si="23"/>
        <v>ST-031</v>
      </c>
      <c r="T249" s="29">
        <f>IF(AND(K249=Lists_Filter!$J$4,G249=Lists_Filter!$J$5),COUNTIFS(K$2:K249,Lists_Filter!$J$4,G$2:G249,Lists_Filter!$J$5),"")</f>
        <v>35</v>
      </c>
    </row>
    <row r="250" spans="1:20" x14ac:dyDescent="0.3">
      <c r="A250" s="27" t="s">
        <v>432</v>
      </c>
      <c r="B250" s="28">
        <v>45758</v>
      </c>
      <c r="C250" s="29" t="s">
        <v>261</v>
      </c>
      <c r="D250" s="29" t="s">
        <v>262</v>
      </c>
      <c r="E250" s="29" t="s">
        <v>146</v>
      </c>
      <c r="F250" s="29" t="s">
        <v>147</v>
      </c>
      <c r="G250" s="29" t="s">
        <v>54</v>
      </c>
      <c r="H250" s="27">
        <v>2</v>
      </c>
      <c r="I250" s="30">
        <v>89.99</v>
      </c>
      <c r="J250" s="29" t="s">
        <v>92</v>
      </c>
      <c r="K250" s="29" t="s">
        <v>98</v>
      </c>
      <c r="L250" s="29" t="s">
        <v>57</v>
      </c>
      <c r="M250" s="28">
        <v>45088</v>
      </c>
      <c r="N250" s="30">
        <f t="shared" si="18"/>
        <v>179.98</v>
      </c>
      <c r="O250" s="28">
        <f t="shared" si="19"/>
        <v>45777</v>
      </c>
      <c r="P250" s="27" t="str">
        <f t="shared" si="20"/>
        <v>Apr 2025</v>
      </c>
      <c r="Q250" s="29">
        <f t="shared" ca="1" si="21"/>
        <v>567</v>
      </c>
      <c r="R250" s="29">
        <f t="shared" si="22"/>
        <v>22</v>
      </c>
      <c r="S250" s="27" t="str">
        <f t="shared" si="23"/>
        <v>LR-039</v>
      </c>
      <c r="T250" s="27" t="str">
        <f>IF(AND(K250=Lists_Filter!$J$4,G250=Lists_Filter!$J$5),COUNTIFS(K$2:K250,Lists_Filter!$J$4,G$2:G250,Lists_Filter!$J$5),"")</f>
        <v/>
      </c>
    </row>
    <row r="251" spans="1:20" x14ac:dyDescent="0.3">
      <c r="A251" s="27" t="s">
        <v>433</v>
      </c>
      <c r="B251" s="28">
        <v>45758</v>
      </c>
      <c r="C251" s="29" t="s">
        <v>328</v>
      </c>
      <c r="D251" s="29" t="s">
        <v>329</v>
      </c>
      <c r="E251" s="29" t="s">
        <v>115</v>
      </c>
      <c r="F251" s="29" t="s">
        <v>116</v>
      </c>
      <c r="G251" s="29" t="s">
        <v>54</v>
      </c>
      <c r="H251" s="27">
        <v>3</v>
      </c>
      <c r="I251" s="30">
        <v>699.99</v>
      </c>
      <c r="J251" s="29" t="s">
        <v>69</v>
      </c>
      <c r="K251" s="29" t="s">
        <v>75</v>
      </c>
      <c r="L251" s="29" t="s">
        <v>57</v>
      </c>
      <c r="M251" s="28">
        <v>44909</v>
      </c>
      <c r="N251" s="30">
        <f t="shared" si="18"/>
        <v>2099.9700000000003</v>
      </c>
      <c r="O251" s="28">
        <f t="shared" si="19"/>
        <v>45777</v>
      </c>
      <c r="P251" s="27" t="str">
        <f t="shared" si="20"/>
        <v>Apr 2025</v>
      </c>
      <c r="Q251" s="29">
        <f t="shared" ca="1" si="21"/>
        <v>567</v>
      </c>
      <c r="R251" s="29">
        <f t="shared" si="22"/>
        <v>27</v>
      </c>
      <c r="S251" s="27" t="str">
        <f t="shared" si="23"/>
        <v>DW-045</v>
      </c>
      <c r="T251" s="29">
        <f>IF(AND(K251=Lists_Filter!$J$4,G251=Lists_Filter!$J$5),COUNTIFS(K$2:K251,Lists_Filter!$J$4,G$2:G251,Lists_Filter!$J$5),"")</f>
        <v>36</v>
      </c>
    </row>
  </sheetData>
  <autoFilter ref="A1:T251" xr:uid="{00000000-0001-0000-0300-000000000000}"/>
  <dataConsolidate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0"/>
  <sheetViews>
    <sheetView zoomScaleNormal="100" workbookViewId="0">
      <pane xSplit="2" ySplit="5" topLeftCell="C45" activePane="bottomRight" state="frozen"/>
      <selection pane="topRight" activeCell="C1" sqref="C1"/>
      <selection pane="bottomLeft" activeCell="A6" sqref="A6"/>
      <selection pane="bottomRight" activeCell="F60" sqref="F60"/>
    </sheetView>
  </sheetViews>
  <sheetFormatPr defaultColWidth="8.6640625" defaultRowHeight="14.4" x14ac:dyDescent="0.3"/>
  <cols>
    <col min="1" max="1" width="13" customWidth="1"/>
    <col min="2" max="2" width="16.5546875" bestFit="1" customWidth="1"/>
    <col min="3" max="3" width="10" customWidth="1"/>
    <col min="4" max="4" width="11.5546875" bestFit="1" customWidth="1"/>
    <col min="5" max="5" width="8" customWidth="1"/>
    <col min="6" max="6" width="18.5546875" bestFit="1" customWidth="1"/>
    <col min="7" max="7" width="12" customWidth="1"/>
    <col min="8" max="8" width="11" customWidth="1"/>
    <col min="9" max="9" width="7" customWidth="1"/>
    <col min="10" max="10" width="12" customWidth="1"/>
    <col min="11" max="11" width="13" customWidth="1"/>
    <col min="12" max="12" width="11" customWidth="1"/>
    <col min="13" max="15" width="12" customWidth="1"/>
    <col min="16" max="16" width="11" customWidth="1"/>
    <col min="17" max="17" width="3" customWidth="1"/>
    <col min="18" max="18" width="8" customWidth="1"/>
    <col min="19" max="19" width="18" customWidth="1"/>
    <col min="20" max="20" width="11" customWidth="1"/>
    <col min="21" max="21" width="8" customWidth="1"/>
  </cols>
  <sheetData>
    <row r="1" spans="1:21" ht="21" x14ac:dyDescent="0.4">
      <c r="A1" s="14" t="s">
        <v>434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"/>
      <c r="R1" s="1"/>
      <c r="S1" s="1"/>
      <c r="T1" s="1"/>
      <c r="U1" s="1"/>
    </row>
    <row r="2" spans="1:21" x14ac:dyDescent="0.3">
      <c r="A2" s="2" t="s">
        <v>435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1" t="s">
        <v>436</v>
      </c>
      <c r="B3" s="1"/>
      <c r="C3" s="1"/>
      <c r="D3" s="6">
        <v>0.8</v>
      </c>
      <c r="E3" s="1"/>
      <c r="F3" s="40" t="s">
        <v>437</v>
      </c>
      <c r="G3" s="3">
        <f>PERCENTILE(F6:F55,D3)</f>
        <v>6557.8000000000011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1.5" customHeight="1" x14ac:dyDescent="0.3">
      <c r="A5" s="24" t="s">
        <v>31</v>
      </c>
      <c r="B5" s="24" t="s">
        <v>32</v>
      </c>
      <c r="C5" s="24" t="s">
        <v>438</v>
      </c>
      <c r="D5" s="24" t="s">
        <v>8</v>
      </c>
      <c r="E5" s="24" t="s">
        <v>439</v>
      </c>
      <c r="F5" s="24" t="s">
        <v>440</v>
      </c>
      <c r="G5" s="24" t="s">
        <v>12</v>
      </c>
      <c r="H5" s="24" t="s">
        <v>441</v>
      </c>
      <c r="I5" s="24" t="s">
        <v>442</v>
      </c>
      <c r="J5" s="24" t="s">
        <v>443</v>
      </c>
      <c r="K5" s="24" t="s">
        <v>444</v>
      </c>
      <c r="L5" s="24" t="s">
        <v>445</v>
      </c>
      <c r="M5" s="24" t="s">
        <v>446</v>
      </c>
      <c r="N5" s="24" t="s">
        <v>447</v>
      </c>
      <c r="O5" s="24" t="s">
        <v>448</v>
      </c>
      <c r="P5" s="24" t="s">
        <v>449</v>
      </c>
      <c r="Q5" s="1"/>
      <c r="R5" s="25" t="s">
        <v>450</v>
      </c>
      <c r="S5" s="25" t="s">
        <v>451</v>
      </c>
      <c r="T5" s="25" t="s">
        <v>440</v>
      </c>
      <c r="U5" s="25" t="s">
        <v>8</v>
      </c>
    </row>
    <row r="6" spans="1:21" x14ac:dyDescent="0.3">
      <c r="A6" s="15" t="s">
        <v>421</v>
      </c>
      <c r="B6" s="15" t="str">
        <f>INDEX(Data!$D$2:$D$251,MATCH(A6,Data!$C$2:$C$251,0))</f>
        <v>John Smith</v>
      </c>
      <c r="C6" s="15" t="str">
        <f>INDEX(Data!$S$2:$S$251,MATCH(A6,Data!$C$2:$C$251,0))</f>
        <v>JS-001</v>
      </c>
      <c r="D6" s="15">
        <f>COUNTIF(Data!$C$2:$C$251,A6)</f>
        <v>1</v>
      </c>
      <c r="E6" s="15">
        <f>SUMIF(Data!$C$2:$C$251,A6,Data!$H$2:$H$251)</f>
        <v>4</v>
      </c>
      <c r="F6" s="17">
        <f>SUMIF(Data!$C$2:$C$251,A6,Data!$N$2:$N$251)</f>
        <v>599.96</v>
      </c>
      <c r="G6" s="17">
        <f t="shared" ref="G6:G37" si="0">IF(D6=0,0,F6/D6)</f>
        <v>599.96</v>
      </c>
      <c r="H6" s="18">
        <f t="shared" ref="H6:H37" si="1">F6/SUM($F$6:$F$55)</f>
        <v>2.6177125278155954E-3</v>
      </c>
      <c r="I6" s="15">
        <f>RANK(F6,$F$6:$F$55)+COUNTIF($F$6:F6,F6)-1</f>
        <v>47</v>
      </c>
      <c r="J6" s="15" t="str">
        <f t="shared" ref="J6:J37" si="2">IF(F6&gt;=$G$3,"High-Value","Regular")</f>
        <v>Regular</v>
      </c>
      <c r="K6" s="22">
        <f>SUMPRODUCT(MAX((Data!$C$2:$C$251=A6)*Data!$B$2:$B$251))</f>
        <v>45740</v>
      </c>
      <c r="L6" s="15">
        <f t="shared" ref="L6:L37" ca="1" si="3">TODAY()-K6</f>
        <v>585</v>
      </c>
      <c r="M6" s="15" t="str">
        <f>IF(COUNTIFS(Data!$C$2:$C$251,$A6,Data!$G$2:$G$251,"Electronics")&gt;0,"Yes","No")</f>
        <v>No</v>
      </c>
      <c r="N6" s="15" t="str">
        <f>IF(COUNTIFS(Data!$C$2:$C$251,$A6,Data!$G$2:$G$251,"Furniture")&gt;0,"Yes","No")</f>
        <v>Yes</v>
      </c>
      <c r="O6" s="15" t="str">
        <f>IF(COUNTIFS(Data!$C$2:$C$251,$A6,Data!$G$2:$G$251,"Appliances")&gt;0,"Yes","No")</f>
        <v>No</v>
      </c>
      <c r="P6" s="15">
        <f>(COUNTIFS(Data!$C$2:$C$251,A6,Data!$L$2:$L$251,"Basic")&gt;0)+(COUNTIFS(Data!$C$2:$C$251,A6,Data!$L$2:$L$251,"Standard")&gt;0)+(COUNTIFS(Data!$C$2:$C$251,A6,Data!$L$2:$L$251,"Premium")&gt;0)</f>
        <v>1</v>
      </c>
      <c r="Q6" s="1"/>
      <c r="R6" s="15">
        <v>1</v>
      </c>
      <c r="S6" s="15" t="str">
        <f t="shared" ref="S6:S15" si="4">INDEX($B$6:$B$55,MATCH(R6,$I$6:$I$55,0))</f>
        <v>Mark Carter</v>
      </c>
      <c r="T6" s="17">
        <f t="shared" ref="T6:T15" si="5">INDEX($F$6:$F$55,MATCH(R6,$I$6:$I$55,0))</f>
        <v>15659.65</v>
      </c>
      <c r="U6" s="15">
        <f t="shared" ref="U6:U15" si="6">INDEX($D$6:$D$55,MATCH(R6,$I$6:$I$55,0))</f>
        <v>12</v>
      </c>
    </row>
    <row r="7" spans="1:21" x14ac:dyDescent="0.3">
      <c r="A7" s="15" t="s">
        <v>167</v>
      </c>
      <c r="B7" s="15" t="str">
        <f>INDEX(Data!$D$2:$D$251,MATCH(A7,Data!$C$2:$C$251,0))</f>
        <v>Emma Wilson</v>
      </c>
      <c r="C7" s="15" t="str">
        <f>INDEX(Data!$S$2:$S$251,MATCH(A7,Data!$C$2:$C$251,0))</f>
        <v>EW-002</v>
      </c>
      <c r="D7" s="15">
        <f>COUNTIF(Data!$C$2:$C$251,A7)</f>
        <v>5</v>
      </c>
      <c r="E7" s="15">
        <f>SUMIF(Data!$C$2:$C$251,A7,Data!$H$2:$H$251)</f>
        <v>12</v>
      </c>
      <c r="F7" s="17">
        <f>SUMIF(Data!$C$2:$C$251,A7,Data!$N$2:$N$251)</f>
        <v>1229.8800000000001</v>
      </c>
      <c r="G7" s="17">
        <f t="shared" si="0"/>
        <v>245.97600000000003</v>
      </c>
      <c r="H7" s="18">
        <f t="shared" si="1"/>
        <v>5.3661448825085747E-3</v>
      </c>
      <c r="I7" s="15">
        <f>RANK(F7,$F$6:$F$55)+COUNTIF($F$6:F7,F7)-1</f>
        <v>44</v>
      </c>
      <c r="J7" s="15" t="str">
        <f t="shared" si="2"/>
        <v>Regular</v>
      </c>
      <c r="K7" s="22">
        <f>SUMPRODUCT(MAX((Data!$C$2:$C$251=A7)*Data!$B$2:$B$251))</f>
        <v>45737</v>
      </c>
      <c r="L7" s="15">
        <f t="shared" ca="1" si="3"/>
        <v>588</v>
      </c>
      <c r="M7" s="15" t="str">
        <f>IF(COUNTIFS(Data!$C$2:$C$251,$A7,Data!$G$2:$G$251,"Electronics")&gt;0,"Yes","No")</f>
        <v>Yes</v>
      </c>
      <c r="N7" s="15" t="str">
        <f>IF(COUNTIFS(Data!$C$2:$C$251,$A7,Data!$G$2:$G$251,"Furniture")&gt;0,"Yes","No")</f>
        <v>Yes</v>
      </c>
      <c r="O7" s="15" t="str">
        <f>IF(COUNTIFS(Data!$C$2:$C$251,$A7,Data!$G$2:$G$251,"Appliances")&gt;0,"Yes","No")</f>
        <v>Yes</v>
      </c>
      <c r="P7" s="15">
        <f>(COUNTIFS(Data!$C$2:$C$251,A7,Data!$L$2:$L$251,"Basic")&gt;0)+(COUNTIFS(Data!$C$2:$C$251,A7,Data!$L$2:$L$251,"Standard")&gt;0)+(COUNTIFS(Data!$C$2:$C$251,A7,Data!$L$2:$L$251,"Premium")&gt;0)</f>
        <v>3</v>
      </c>
      <c r="Q7" s="1"/>
      <c r="R7" s="15">
        <v>2</v>
      </c>
      <c r="S7" s="15" t="str">
        <f t="shared" si="4"/>
        <v>Edward Mitchell</v>
      </c>
      <c r="T7" s="17">
        <f t="shared" si="5"/>
        <v>11919.77</v>
      </c>
      <c r="U7" s="15">
        <f t="shared" si="6"/>
        <v>6</v>
      </c>
    </row>
    <row r="8" spans="1:21" x14ac:dyDescent="0.3">
      <c r="A8" s="15" t="s">
        <v>77</v>
      </c>
      <c r="B8" s="15" t="str">
        <f>INDEX(Data!$D$2:$D$251,MATCH(A8,Data!$C$2:$C$251,0))</f>
        <v>Michael Brown</v>
      </c>
      <c r="C8" s="15" t="str">
        <f>INDEX(Data!$S$2:$S$251,MATCH(A8,Data!$C$2:$C$251,0))</f>
        <v>MB-003</v>
      </c>
      <c r="D8" s="15">
        <f>COUNTIF(Data!$C$2:$C$251,A8)</f>
        <v>9</v>
      </c>
      <c r="E8" s="15">
        <f>SUMIF(Data!$C$2:$C$251,A8,Data!$H$2:$H$251)</f>
        <v>26</v>
      </c>
      <c r="F8" s="17">
        <f>SUMIF(Data!$C$2:$C$251,A8,Data!$N$2:$N$251)</f>
        <v>6169.7400000000007</v>
      </c>
      <c r="G8" s="17">
        <f t="shared" si="0"/>
        <v>685.52666666666676</v>
      </c>
      <c r="H8" s="18">
        <f t="shared" si="1"/>
        <v>2.6919470783660564E-2</v>
      </c>
      <c r="I8" s="15">
        <f>RANK(F8,$F$6:$F$55)+COUNTIF($F$6:F8,F8)-1</f>
        <v>14</v>
      </c>
      <c r="J8" s="15" t="str">
        <f t="shared" si="2"/>
        <v>Regular</v>
      </c>
      <c r="K8" s="22">
        <f>SUMPRODUCT(MAX((Data!$C$2:$C$251=A8)*Data!$B$2:$B$251))</f>
        <v>45707</v>
      </c>
      <c r="L8" s="15">
        <f t="shared" ca="1" si="3"/>
        <v>618</v>
      </c>
      <c r="M8" s="15" t="str">
        <f>IF(COUNTIFS(Data!$C$2:$C$251,$A8,Data!$G$2:$G$251,"Electronics")&gt;0,"Yes","No")</f>
        <v>Yes</v>
      </c>
      <c r="N8" s="15" t="str">
        <f>IF(COUNTIFS(Data!$C$2:$C$251,$A8,Data!$G$2:$G$251,"Furniture")&gt;0,"Yes","No")</f>
        <v>Yes</v>
      </c>
      <c r="O8" s="15" t="str">
        <f>IF(COUNTIFS(Data!$C$2:$C$251,$A8,Data!$G$2:$G$251,"Appliances")&gt;0,"Yes","No")</f>
        <v>No</v>
      </c>
      <c r="P8" s="15">
        <f>(COUNTIFS(Data!$C$2:$C$251,A8,Data!$L$2:$L$251,"Basic")&gt;0)+(COUNTIFS(Data!$C$2:$C$251,A8,Data!$L$2:$L$251,"Standard")&gt;0)+(COUNTIFS(Data!$C$2:$C$251,A8,Data!$L$2:$L$251,"Premium")&gt;0)</f>
        <v>3</v>
      </c>
      <c r="Q8" s="1"/>
      <c r="R8" s="15">
        <v>3</v>
      </c>
      <c r="S8" s="15" t="str">
        <f t="shared" si="4"/>
        <v>Barbara Young</v>
      </c>
      <c r="T8" s="17">
        <f t="shared" si="5"/>
        <v>10649.8</v>
      </c>
      <c r="U8" s="15">
        <f t="shared" si="6"/>
        <v>5</v>
      </c>
    </row>
    <row r="9" spans="1:21" x14ac:dyDescent="0.3">
      <c r="A9" s="15" t="s">
        <v>189</v>
      </c>
      <c r="B9" s="15" t="str">
        <f>INDEX(Data!$D$2:$D$251,MATCH(A9,Data!$C$2:$C$251,0))</f>
        <v>Sarah Davis</v>
      </c>
      <c r="C9" s="15" t="str">
        <f>INDEX(Data!$S$2:$S$251,MATCH(A9,Data!$C$2:$C$251,0))</f>
        <v>SD-004</v>
      </c>
      <c r="D9" s="15">
        <f>COUNTIF(Data!$C$2:$C$251,A9)</f>
        <v>5</v>
      </c>
      <c r="E9" s="15">
        <f>SUMIF(Data!$C$2:$C$251,A9,Data!$H$2:$H$251)</f>
        <v>19</v>
      </c>
      <c r="F9" s="17">
        <f>SUMIF(Data!$C$2:$C$251,A9,Data!$N$2:$N$251)</f>
        <v>5499.81</v>
      </c>
      <c r="G9" s="17">
        <f t="shared" si="0"/>
        <v>1099.962</v>
      </c>
      <c r="H9" s="18">
        <f t="shared" si="1"/>
        <v>2.3996468993942081E-2</v>
      </c>
      <c r="I9" s="15">
        <f>RANK(F9,$F$6:$F$55)+COUNTIF($F$6:F9,F9)-1</f>
        <v>19</v>
      </c>
      <c r="J9" s="15" t="str">
        <f t="shared" si="2"/>
        <v>Regular</v>
      </c>
      <c r="K9" s="22">
        <f>SUMPRODUCT(MAX((Data!$C$2:$C$251=A9)*Data!$B$2:$B$251))</f>
        <v>45619</v>
      </c>
      <c r="L9" s="15">
        <f t="shared" ca="1" si="3"/>
        <v>706</v>
      </c>
      <c r="M9" s="15" t="str">
        <f>IF(COUNTIFS(Data!$C$2:$C$251,$A9,Data!$G$2:$G$251,"Electronics")&gt;0,"Yes","No")</f>
        <v>Yes</v>
      </c>
      <c r="N9" s="15" t="str">
        <f>IF(COUNTIFS(Data!$C$2:$C$251,$A9,Data!$G$2:$G$251,"Furniture")&gt;0,"Yes","No")</f>
        <v>Yes</v>
      </c>
      <c r="O9" s="15" t="str">
        <f>IF(COUNTIFS(Data!$C$2:$C$251,$A9,Data!$G$2:$G$251,"Appliances")&gt;0,"Yes","No")</f>
        <v>No</v>
      </c>
      <c r="P9" s="15">
        <f>(COUNTIFS(Data!$C$2:$C$251,A9,Data!$L$2:$L$251,"Basic")&gt;0)+(COUNTIFS(Data!$C$2:$C$251,A9,Data!$L$2:$L$251,"Standard")&gt;0)+(COUNTIFS(Data!$C$2:$C$251,A9,Data!$L$2:$L$251,"Premium")&gt;0)</f>
        <v>2</v>
      </c>
      <c r="Q9" s="1"/>
      <c r="R9" s="15">
        <v>4</v>
      </c>
      <c r="S9" s="15" t="str">
        <f t="shared" si="4"/>
        <v>Patricia Moore</v>
      </c>
      <c r="T9" s="17">
        <f t="shared" si="5"/>
        <v>9799.73</v>
      </c>
      <c r="U9" s="15">
        <f t="shared" si="6"/>
        <v>8</v>
      </c>
    </row>
    <row r="10" spans="1:21" x14ac:dyDescent="0.3">
      <c r="A10" s="15" t="s">
        <v>339</v>
      </c>
      <c r="B10" s="15" t="str">
        <f>INDEX(Data!$D$2:$D$251,MATCH(A10,Data!$C$2:$C$251,0))</f>
        <v>James Johnson</v>
      </c>
      <c r="C10" s="15" t="str">
        <f>INDEX(Data!$S$2:$S$251,MATCH(A10,Data!$C$2:$C$251,0))</f>
        <v>JJ-005</v>
      </c>
      <c r="D10" s="15">
        <f>COUNTIF(Data!$C$2:$C$251,A10)</f>
        <v>1</v>
      </c>
      <c r="E10" s="15">
        <f>SUMIF(Data!$C$2:$C$251,A10,Data!$H$2:$H$251)</f>
        <v>3</v>
      </c>
      <c r="F10" s="17">
        <f>SUMIF(Data!$C$2:$C$251,A10,Data!$N$2:$N$251)</f>
        <v>179.97</v>
      </c>
      <c r="G10" s="17">
        <f t="shared" si="0"/>
        <v>179.97</v>
      </c>
      <c r="H10" s="18">
        <f t="shared" si="1"/>
        <v>7.8523522173307007E-4</v>
      </c>
      <c r="I10" s="15">
        <f>RANK(F10,$F$6:$F$55)+COUNTIF($F$6:F10,F10)-1</f>
        <v>50</v>
      </c>
      <c r="J10" s="15" t="str">
        <f t="shared" si="2"/>
        <v>Regular</v>
      </c>
      <c r="K10" s="22">
        <f>SUMPRODUCT(MAX((Data!$C$2:$C$251=A10)*Data!$B$2:$B$251))</f>
        <v>45635</v>
      </c>
      <c r="L10" s="15">
        <f t="shared" ca="1" si="3"/>
        <v>690</v>
      </c>
      <c r="M10" s="15" t="str">
        <f>IF(COUNTIFS(Data!$C$2:$C$251,$A10,Data!$G$2:$G$251,"Electronics")&gt;0,"Yes","No")</f>
        <v>No</v>
      </c>
      <c r="N10" s="15" t="str">
        <f>IF(COUNTIFS(Data!$C$2:$C$251,$A10,Data!$G$2:$G$251,"Furniture")&gt;0,"Yes","No")</f>
        <v>No</v>
      </c>
      <c r="O10" s="15" t="str">
        <f>IF(COUNTIFS(Data!$C$2:$C$251,$A10,Data!$G$2:$G$251,"Appliances")&gt;0,"Yes","No")</f>
        <v>Yes</v>
      </c>
      <c r="P10" s="15">
        <f>(COUNTIFS(Data!$C$2:$C$251,A10,Data!$L$2:$L$251,"Basic")&gt;0)+(COUNTIFS(Data!$C$2:$C$251,A10,Data!$L$2:$L$251,"Standard")&gt;0)+(COUNTIFS(Data!$C$2:$C$251,A10,Data!$L$2:$L$251,"Premium")&gt;0)</f>
        <v>1</v>
      </c>
      <c r="Q10" s="1"/>
      <c r="R10" s="15">
        <v>5</v>
      </c>
      <c r="S10" s="15" t="str">
        <f t="shared" si="4"/>
        <v>Paul Baker</v>
      </c>
      <c r="T10" s="17">
        <f t="shared" si="5"/>
        <v>8309.739999999998</v>
      </c>
      <c r="U10" s="15">
        <f t="shared" si="6"/>
        <v>8</v>
      </c>
    </row>
    <row r="11" spans="1:21" x14ac:dyDescent="0.3">
      <c r="A11" s="15" t="s">
        <v>164</v>
      </c>
      <c r="B11" s="15" t="str">
        <f>INDEX(Data!$D$2:$D$251,MATCH(A11,Data!$C$2:$C$251,0))</f>
        <v>Lisa Anderson</v>
      </c>
      <c r="C11" s="15" t="str">
        <f>INDEX(Data!$S$2:$S$251,MATCH(A11,Data!$C$2:$C$251,0))</f>
        <v>LA-006</v>
      </c>
      <c r="D11" s="15">
        <f>COUNTIF(Data!$C$2:$C$251,A11)</f>
        <v>5</v>
      </c>
      <c r="E11" s="15">
        <f>SUMIF(Data!$C$2:$C$251,A11,Data!$H$2:$H$251)</f>
        <v>20</v>
      </c>
      <c r="F11" s="17">
        <f>SUMIF(Data!$C$2:$C$251,A11,Data!$N$2:$N$251)</f>
        <v>2039.8000000000002</v>
      </c>
      <c r="G11" s="17">
        <f t="shared" si="0"/>
        <v>407.96000000000004</v>
      </c>
      <c r="H11" s="18">
        <f t="shared" si="1"/>
        <v>8.8999433532873061E-3</v>
      </c>
      <c r="I11" s="15">
        <f>RANK(F11,$F$6:$F$55)+COUNTIF($F$6:F11,F11)-1</f>
        <v>36</v>
      </c>
      <c r="J11" s="15" t="str">
        <f t="shared" si="2"/>
        <v>Regular</v>
      </c>
      <c r="K11" s="22">
        <f>SUMPRODUCT(MAX((Data!$C$2:$C$251=A11)*Data!$B$2:$B$251))</f>
        <v>45676</v>
      </c>
      <c r="L11" s="15">
        <f t="shared" ca="1" si="3"/>
        <v>649</v>
      </c>
      <c r="M11" s="15" t="str">
        <f>IF(COUNTIFS(Data!$C$2:$C$251,$A11,Data!$G$2:$G$251,"Electronics")&gt;0,"Yes","No")</f>
        <v>Yes</v>
      </c>
      <c r="N11" s="15" t="str">
        <f>IF(COUNTIFS(Data!$C$2:$C$251,$A11,Data!$G$2:$G$251,"Furniture")&gt;0,"Yes","No")</f>
        <v>Yes</v>
      </c>
      <c r="O11" s="15" t="str">
        <f>IF(COUNTIFS(Data!$C$2:$C$251,$A11,Data!$G$2:$G$251,"Appliances")&gt;0,"Yes","No")</f>
        <v>Yes</v>
      </c>
      <c r="P11" s="15">
        <f>(COUNTIFS(Data!$C$2:$C$251,A11,Data!$L$2:$L$251,"Basic")&gt;0)+(COUNTIFS(Data!$C$2:$C$251,A11,Data!$L$2:$L$251,"Standard")&gt;0)+(COUNTIFS(Data!$C$2:$C$251,A11,Data!$L$2:$L$251,"Premium")&gt;0)</f>
        <v>2</v>
      </c>
      <c r="Q11" s="1"/>
      <c r="R11" s="15">
        <v>6</v>
      </c>
      <c r="S11" s="15" t="str">
        <f t="shared" si="4"/>
        <v>Dorothy Nelson</v>
      </c>
      <c r="T11" s="17">
        <f t="shared" si="5"/>
        <v>8269.7900000000009</v>
      </c>
      <c r="U11" s="15">
        <f t="shared" si="6"/>
        <v>6</v>
      </c>
    </row>
    <row r="12" spans="1:21" x14ac:dyDescent="0.3">
      <c r="A12" s="15" t="s">
        <v>217</v>
      </c>
      <c r="B12" s="15" t="str">
        <f>INDEX(Data!$D$2:$D$251,MATCH(A12,Data!$C$2:$C$251,0))</f>
        <v>David Martinez</v>
      </c>
      <c r="C12" s="15" t="str">
        <f>INDEX(Data!$S$2:$S$251,MATCH(A12,Data!$C$2:$C$251,0))</f>
        <v>DM-007</v>
      </c>
      <c r="D12" s="15">
        <f>COUNTIF(Data!$C$2:$C$251,A12)</f>
        <v>6</v>
      </c>
      <c r="E12" s="15">
        <f>SUMIF(Data!$C$2:$C$251,A12,Data!$H$2:$H$251)</f>
        <v>16</v>
      </c>
      <c r="F12" s="17">
        <f>SUMIF(Data!$C$2:$C$251,A12,Data!$N$2:$N$251)</f>
        <v>1809.84</v>
      </c>
      <c r="G12" s="17">
        <f t="shared" si="0"/>
        <v>301.64</v>
      </c>
      <c r="H12" s="18">
        <f t="shared" si="1"/>
        <v>7.8965945085368635E-3</v>
      </c>
      <c r="I12" s="15">
        <f>RANK(F12,$F$6:$F$55)+COUNTIF($F$6:F12,F12)-1</f>
        <v>39</v>
      </c>
      <c r="J12" s="15" t="str">
        <f t="shared" si="2"/>
        <v>Regular</v>
      </c>
      <c r="K12" s="22">
        <f>SUMPRODUCT(MAX((Data!$C$2:$C$251=A12)*Data!$B$2:$B$251))</f>
        <v>45648</v>
      </c>
      <c r="L12" s="15">
        <f t="shared" ca="1" si="3"/>
        <v>677</v>
      </c>
      <c r="M12" s="15" t="str">
        <f>IF(COUNTIFS(Data!$C$2:$C$251,$A12,Data!$G$2:$G$251,"Electronics")&gt;0,"Yes","No")</f>
        <v>Yes</v>
      </c>
      <c r="N12" s="15" t="str">
        <f>IF(COUNTIFS(Data!$C$2:$C$251,$A12,Data!$G$2:$G$251,"Furniture")&gt;0,"Yes","No")</f>
        <v>Yes</v>
      </c>
      <c r="O12" s="15" t="str">
        <f>IF(COUNTIFS(Data!$C$2:$C$251,$A12,Data!$G$2:$G$251,"Appliances")&gt;0,"Yes","No")</f>
        <v>Yes</v>
      </c>
      <c r="P12" s="15">
        <f>(COUNTIFS(Data!$C$2:$C$251,A12,Data!$L$2:$L$251,"Basic")&gt;0)+(COUNTIFS(Data!$C$2:$C$251,A12,Data!$L$2:$L$251,"Standard")&gt;0)+(COUNTIFS(Data!$C$2:$C$251,A12,Data!$L$2:$L$251,"Premium")&gt;0)</f>
        <v>3</v>
      </c>
      <c r="Q12" s="1"/>
      <c r="R12" s="15">
        <v>7</v>
      </c>
      <c r="S12" s="15" t="str">
        <f t="shared" si="4"/>
        <v>Karen Hill</v>
      </c>
      <c r="T12" s="17">
        <f t="shared" si="5"/>
        <v>8009.7699999999995</v>
      </c>
      <c r="U12" s="15">
        <f t="shared" si="6"/>
        <v>8</v>
      </c>
    </row>
    <row r="13" spans="1:21" x14ac:dyDescent="0.3">
      <c r="A13" s="15" t="s">
        <v>176</v>
      </c>
      <c r="B13" s="15" t="str">
        <f>INDEX(Data!$D$2:$D$251,MATCH(A13,Data!$C$2:$C$251,0))</f>
        <v>Jennifer Taylor</v>
      </c>
      <c r="C13" s="15" t="str">
        <f>INDEX(Data!$S$2:$S$251,MATCH(A13,Data!$C$2:$C$251,0))</f>
        <v>JT-008</v>
      </c>
      <c r="D13" s="15">
        <f>COUNTIF(Data!$C$2:$C$251,A13)</f>
        <v>4</v>
      </c>
      <c r="E13" s="15">
        <f>SUMIF(Data!$C$2:$C$251,A13,Data!$H$2:$H$251)</f>
        <v>15</v>
      </c>
      <c r="F13" s="17">
        <f>SUMIF(Data!$C$2:$C$251,A13,Data!$N$2:$N$251)</f>
        <v>4739.8500000000004</v>
      </c>
      <c r="G13" s="17">
        <f t="shared" si="0"/>
        <v>1184.9625000000001</v>
      </c>
      <c r="H13" s="18">
        <f t="shared" si="1"/>
        <v>2.0680653251828038E-2</v>
      </c>
      <c r="I13" s="15">
        <f>RANK(F13,$F$6:$F$55)+COUNTIF($F$6:F13,F13)-1</f>
        <v>24</v>
      </c>
      <c r="J13" s="15" t="str">
        <f t="shared" si="2"/>
        <v>Regular</v>
      </c>
      <c r="K13" s="22">
        <f>SUMPRODUCT(MAX((Data!$C$2:$C$251=A13)*Data!$B$2:$B$251))</f>
        <v>45635</v>
      </c>
      <c r="L13" s="15">
        <f t="shared" ca="1" si="3"/>
        <v>690</v>
      </c>
      <c r="M13" s="15" t="str">
        <f>IF(COUNTIFS(Data!$C$2:$C$251,$A13,Data!$G$2:$G$251,"Electronics")&gt;0,"Yes","No")</f>
        <v>Yes</v>
      </c>
      <c r="N13" s="15" t="str">
        <f>IF(COUNTIFS(Data!$C$2:$C$251,$A13,Data!$G$2:$G$251,"Furniture")&gt;0,"Yes","No")</f>
        <v>Yes</v>
      </c>
      <c r="O13" s="15" t="str">
        <f>IF(COUNTIFS(Data!$C$2:$C$251,$A13,Data!$G$2:$G$251,"Appliances")&gt;0,"Yes","No")</f>
        <v>Yes</v>
      </c>
      <c r="P13" s="15">
        <f>(COUNTIFS(Data!$C$2:$C$251,A13,Data!$L$2:$L$251,"Basic")&gt;0)+(COUNTIFS(Data!$C$2:$C$251,A13,Data!$L$2:$L$251,"Standard")&gt;0)+(COUNTIFS(Data!$C$2:$C$251,A13,Data!$L$2:$L$251,"Premium")&gt;0)</f>
        <v>2</v>
      </c>
      <c r="Q13" s="1"/>
      <c r="R13" s="15">
        <v>8</v>
      </c>
      <c r="S13" s="15" t="str">
        <f t="shared" si="4"/>
        <v>Daniel King</v>
      </c>
      <c r="T13" s="17">
        <f t="shared" si="5"/>
        <v>7309.7999999999993</v>
      </c>
      <c r="U13" s="15">
        <f t="shared" si="6"/>
        <v>7</v>
      </c>
    </row>
    <row r="14" spans="1:21" x14ac:dyDescent="0.3">
      <c r="A14" s="15" t="s">
        <v>94</v>
      </c>
      <c r="B14" s="15" t="str">
        <f>INDEX(Data!$D$2:$D$251,MATCH(A14,Data!$C$2:$C$251,0))</f>
        <v>Robert Thomas</v>
      </c>
      <c r="C14" s="15" t="str">
        <f>INDEX(Data!$S$2:$S$251,MATCH(A14,Data!$C$2:$C$251,0))</f>
        <v>RT-009</v>
      </c>
      <c r="D14" s="15">
        <f>COUNTIF(Data!$C$2:$C$251,A14)</f>
        <v>5</v>
      </c>
      <c r="E14" s="15">
        <f>SUMIF(Data!$C$2:$C$251,A14,Data!$H$2:$H$251)</f>
        <v>10</v>
      </c>
      <c r="F14" s="17">
        <f>SUMIF(Data!$C$2:$C$251,A14,Data!$N$2:$N$251)</f>
        <v>3509.8999999999996</v>
      </c>
      <c r="G14" s="17">
        <f t="shared" si="0"/>
        <v>701.9799999999999</v>
      </c>
      <c r="H14" s="18">
        <f t="shared" si="1"/>
        <v>1.5314202949163205E-2</v>
      </c>
      <c r="I14" s="15">
        <f>RANK(F14,$F$6:$F$55)+COUNTIF($F$6:F14,F14)-1</f>
        <v>32</v>
      </c>
      <c r="J14" s="15" t="str">
        <f t="shared" si="2"/>
        <v>Regular</v>
      </c>
      <c r="K14" s="22">
        <f>SUMPRODUCT(MAX((Data!$C$2:$C$251=A14)*Data!$B$2:$B$251))</f>
        <v>45756</v>
      </c>
      <c r="L14" s="15">
        <f t="shared" ca="1" si="3"/>
        <v>569</v>
      </c>
      <c r="M14" s="15" t="str">
        <f>IF(COUNTIFS(Data!$C$2:$C$251,$A14,Data!$G$2:$G$251,"Electronics")&gt;0,"Yes","No")</f>
        <v>Yes</v>
      </c>
      <c r="N14" s="15" t="str">
        <f>IF(COUNTIFS(Data!$C$2:$C$251,$A14,Data!$G$2:$G$251,"Furniture")&gt;0,"Yes","No")</f>
        <v>Yes</v>
      </c>
      <c r="O14" s="15" t="str">
        <f>IF(COUNTIFS(Data!$C$2:$C$251,$A14,Data!$G$2:$G$251,"Appliances")&gt;0,"Yes","No")</f>
        <v>No</v>
      </c>
      <c r="P14" s="15">
        <f>(COUNTIFS(Data!$C$2:$C$251,A14,Data!$L$2:$L$251,"Basic")&gt;0)+(COUNTIFS(Data!$C$2:$C$251,A14,Data!$L$2:$L$251,"Standard")&gt;0)+(COUNTIFS(Data!$C$2:$C$251,A14,Data!$L$2:$L$251,"Premium")&gt;0)</f>
        <v>3</v>
      </c>
      <c r="Q14" s="1"/>
      <c r="R14" s="15">
        <v>9</v>
      </c>
      <c r="S14" s="15" t="str">
        <f t="shared" si="4"/>
        <v>Lawrence Reed</v>
      </c>
      <c r="T14" s="17">
        <f t="shared" si="5"/>
        <v>6989.7699999999986</v>
      </c>
      <c r="U14" s="15">
        <f t="shared" si="6"/>
        <v>8</v>
      </c>
    </row>
    <row r="15" spans="1:21" x14ac:dyDescent="0.3">
      <c r="A15" s="15" t="s">
        <v>125</v>
      </c>
      <c r="B15" s="15" t="str">
        <f>INDEX(Data!$D$2:$D$251,MATCH(A15,Data!$C$2:$C$251,0))</f>
        <v>Maria Garcia</v>
      </c>
      <c r="C15" s="15" t="str">
        <f>INDEX(Data!$S$2:$S$251,MATCH(A15,Data!$C$2:$C$251,0))</f>
        <v>MG-010</v>
      </c>
      <c r="D15" s="15">
        <f>COUNTIF(Data!$C$2:$C$251,A15)</f>
        <v>4</v>
      </c>
      <c r="E15" s="15">
        <f>SUMIF(Data!$C$2:$C$251,A15,Data!$H$2:$H$251)</f>
        <v>7</v>
      </c>
      <c r="F15" s="17">
        <f>SUMIF(Data!$C$2:$C$251,A15,Data!$N$2:$N$251)</f>
        <v>1909.93</v>
      </c>
      <c r="G15" s="17">
        <f t="shared" si="0"/>
        <v>477.48250000000002</v>
      </c>
      <c r="H15" s="18">
        <f t="shared" si="1"/>
        <v>8.3333017005314362E-3</v>
      </c>
      <c r="I15" s="15">
        <f>RANK(F15,$F$6:$F$55)+COUNTIF($F$6:F15,F15)-1</f>
        <v>38</v>
      </c>
      <c r="J15" s="15" t="str">
        <f t="shared" si="2"/>
        <v>Regular</v>
      </c>
      <c r="K15" s="22">
        <f>SUMPRODUCT(MAX((Data!$C$2:$C$251=A15)*Data!$B$2:$B$251))</f>
        <v>45604</v>
      </c>
      <c r="L15" s="15">
        <f t="shared" ca="1" si="3"/>
        <v>721</v>
      </c>
      <c r="M15" s="15" t="str">
        <f>IF(COUNTIFS(Data!$C$2:$C$251,$A15,Data!$G$2:$G$251,"Electronics")&gt;0,"Yes","No")</f>
        <v>Yes</v>
      </c>
      <c r="N15" s="15" t="str">
        <f>IF(COUNTIFS(Data!$C$2:$C$251,$A15,Data!$G$2:$G$251,"Furniture")&gt;0,"Yes","No")</f>
        <v>Yes</v>
      </c>
      <c r="O15" s="15" t="str">
        <f>IF(COUNTIFS(Data!$C$2:$C$251,$A15,Data!$G$2:$G$251,"Appliances")&gt;0,"Yes","No")</f>
        <v>Yes</v>
      </c>
      <c r="P15" s="15">
        <f>(COUNTIFS(Data!$C$2:$C$251,A15,Data!$L$2:$L$251,"Basic")&gt;0)+(COUNTIFS(Data!$C$2:$C$251,A15,Data!$L$2:$L$251,"Standard")&gt;0)+(COUNTIFS(Data!$C$2:$C$251,A15,Data!$L$2:$L$251,"Premium")&gt;0)</f>
        <v>3</v>
      </c>
      <c r="Q15" s="1"/>
      <c r="R15" s="15">
        <v>10</v>
      </c>
      <c r="S15" s="15" t="str">
        <f t="shared" si="4"/>
        <v>Joseph Jackson</v>
      </c>
      <c r="T15" s="17">
        <f t="shared" si="5"/>
        <v>6949.84</v>
      </c>
      <c r="U15" s="15">
        <f t="shared" si="6"/>
        <v>5</v>
      </c>
    </row>
    <row r="16" spans="1:21" x14ac:dyDescent="0.3">
      <c r="A16" s="15" t="s">
        <v>287</v>
      </c>
      <c r="B16" s="15" t="str">
        <f>INDEX(Data!$D$2:$D$251,MATCH(A16,Data!$C$2:$C$251,0))</f>
        <v>William White</v>
      </c>
      <c r="C16" s="15" t="str">
        <f>INDEX(Data!$S$2:$S$251,MATCH(A16,Data!$C$2:$C$251,0))</f>
        <v>WW-011</v>
      </c>
      <c r="D16" s="15">
        <f>COUNTIF(Data!$C$2:$C$251,A16)</f>
        <v>3</v>
      </c>
      <c r="E16" s="15">
        <f>SUMIF(Data!$C$2:$C$251,A16,Data!$H$2:$H$251)</f>
        <v>9</v>
      </c>
      <c r="F16" s="17">
        <f>SUMIF(Data!$C$2:$C$251,A16,Data!$N$2:$N$251)</f>
        <v>4749.91</v>
      </c>
      <c r="G16" s="17">
        <f t="shared" si="0"/>
        <v>1583.3033333333333</v>
      </c>
      <c r="H16" s="18">
        <f t="shared" si="1"/>
        <v>2.0724546491427052E-2</v>
      </c>
      <c r="I16" s="15">
        <f>RANK(F16,$F$6:$F$55)+COUNTIF($F$6:F16,F16)-1</f>
        <v>23</v>
      </c>
      <c r="J16" s="15" t="str">
        <f t="shared" si="2"/>
        <v>Regular</v>
      </c>
      <c r="K16" s="22">
        <f>SUMPRODUCT(MAX((Data!$C$2:$C$251=A16)*Data!$B$2:$B$251))</f>
        <v>45686</v>
      </c>
      <c r="L16" s="15">
        <f t="shared" ca="1" si="3"/>
        <v>639</v>
      </c>
      <c r="M16" s="15" t="str">
        <f>IF(COUNTIFS(Data!$C$2:$C$251,$A16,Data!$G$2:$G$251,"Electronics")&gt;0,"Yes","No")</f>
        <v>Yes</v>
      </c>
      <c r="N16" s="15" t="str">
        <f>IF(COUNTIFS(Data!$C$2:$C$251,$A16,Data!$G$2:$G$251,"Furniture")&gt;0,"Yes","No")</f>
        <v>No</v>
      </c>
      <c r="O16" s="15" t="str">
        <f>IF(COUNTIFS(Data!$C$2:$C$251,$A16,Data!$G$2:$G$251,"Appliances")&gt;0,"Yes","No")</f>
        <v>No</v>
      </c>
      <c r="P16" s="15">
        <f>(COUNTIFS(Data!$C$2:$C$251,A16,Data!$L$2:$L$251,"Basic")&gt;0)+(COUNTIFS(Data!$C$2:$C$251,A16,Data!$L$2:$L$251,"Standard")&gt;0)+(COUNTIFS(Data!$C$2:$C$251,A16,Data!$L$2:$L$251,"Premium")&gt;0)</f>
        <v>3</v>
      </c>
      <c r="Q16" s="1"/>
      <c r="R16" s="1"/>
      <c r="S16" s="1"/>
      <c r="T16" s="1"/>
      <c r="U16" s="1"/>
    </row>
    <row r="17" spans="1:21" x14ac:dyDescent="0.3">
      <c r="A17" s="15" t="s">
        <v>134</v>
      </c>
      <c r="B17" s="15" t="str">
        <f>INDEX(Data!$D$2:$D$251,MATCH(A17,Data!$C$2:$C$251,0))</f>
        <v>Patricia Moore</v>
      </c>
      <c r="C17" s="15" t="str">
        <f>INDEX(Data!$S$2:$S$251,MATCH(A17,Data!$C$2:$C$251,0))</f>
        <v>PM-012</v>
      </c>
      <c r="D17" s="15">
        <f>COUNTIF(Data!$C$2:$C$251,A17)</f>
        <v>8</v>
      </c>
      <c r="E17" s="15">
        <f>SUMIF(Data!$C$2:$C$251,A17,Data!$H$2:$H$251)</f>
        <v>27</v>
      </c>
      <c r="F17" s="17">
        <f>SUMIF(Data!$C$2:$C$251,A17,Data!$N$2:$N$251)</f>
        <v>9799.73</v>
      </c>
      <c r="G17" s="17">
        <f t="shared" si="0"/>
        <v>1224.9662499999999</v>
      </c>
      <c r="H17" s="18">
        <f t="shared" si="1"/>
        <v>4.2757643826605643E-2</v>
      </c>
      <c r="I17" s="15">
        <f>RANK(F17,$F$6:$F$55)+COUNTIF($F$6:F17,F17)-1</f>
        <v>4</v>
      </c>
      <c r="J17" s="15" t="str">
        <f t="shared" si="2"/>
        <v>High-Value</v>
      </c>
      <c r="K17" s="22">
        <f>SUMPRODUCT(MAX((Data!$C$2:$C$251=A17)*Data!$B$2:$B$251))</f>
        <v>45607</v>
      </c>
      <c r="L17" s="15">
        <f t="shared" ca="1" si="3"/>
        <v>718</v>
      </c>
      <c r="M17" s="15" t="str">
        <f>IF(COUNTIFS(Data!$C$2:$C$251,$A17,Data!$G$2:$G$251,"Electronics")&gt;0,"Yes","No")</f>
        <v>Yes</v>
      </c>
      <c r="N17" s="15" t="str">
        <f>IF(COUNTIFS(Data!$C$2:$C$251,$A17,Data!$G$2:$G$251,"Furniture")&gt;0,"Yes","No")</f>
        <v>Yes</v>
      </c>
      <c r="O17" s="15" t="str">
        <f>IF(COUNTIFS(Data!$C$2:$C$251,$A17,Data!$G$2:$G$251,"Appliances")&gt;0,"Yes","No")</f>
        <v>No</v>
      </c>
      <c r="P17" s="15">
        <f>(COUNTIFS(Data!$C$2:$C$251,A17,Data!$L$2:$L$251,"Basic")&gt;0)+(COUNTIFS(Data!$C$2:$C$251,A17,Data!$L$2:$L$251,"Standard")&gt;0)+(COUNTIFS(Data!$C$2:$C$251,A17,Data!$L$2:$L$251,"Premium")&gt;0)</f>
        <v>3</v>
      </c>
      <c r="Q17" s="1"/>
      <c r="R17" s="1"/>
      <c r="S17" s="1"/>
      <c r="T17" s="1"/>
      <c r="U17" s="1"/>
    </row>
    <row r="18" spans="1:21" x14ac:dyDescent="0.3">
      <c r="A18" s="15" t="s">
        <v>59</v>
      </c>
      <c r="B18" s="15" t="str">
        <f>INDEX(Data!$D$2:$D$251,MATCH(A18,Data!$C$2:$C$251,0))</f>
        <v>Joseph Jackson</v>
      </c>
      <c r="C18" s="15" t="str">
        <f>INDEX(Data!$S$2:$S$251,MATCH(A18,Data!$C$2:$C$251,0))</f>
        <v>JJ-013</v>
      </c>
      <c r="D18" s="15">
        <f>COUNTIF(Data!$C$2:$C$251,A18)</f>
        <v>5</v>
      </c>
      <c r="E18" s="15">
        <f>SUMIF(Data!$C$2:$C$251,A18,Data!$H$2:$H$251)</f>
        <v>16</v>
      </c>
      <c r="F18" s="17">
        <f>SUMIF(Data!$C$2:$C$251,A18,Data!$N$2:$N$251)</f>
        <v>6949.84</v>
      </c>
      <c r="G18" s="17">
        <f t="shared" si="0"/>
        <v>1389.9680000000001</v>
      </c>
      <c r="H18" s="18">
        <f t="shared" si="1"/>
        <v>3.0323160267874422E-2</v>
      </c>
      <c r="I18" s="15">
        <f>RANK(F18,$F$6:$F$55)+COUNTIF($F$6:F18,F18)-1</f>
        <v>10</v>
      </c>
      <c r="J18" s="15" t="str">
        <f t="shared" si="2"/>
        <v>High-Value</v>
      </c>
      <c r="K18" s="22">
        <f>SUMPRODUCT(MAX((Data!$C$2:$C$251=A18)*Data!$B$2:$B$251))</f>
        <v>45627</v>
      </c>
      <c r="L18" s="15">
        <f t="shared" ca="1" si="3"/>
        <v>698</v>
      </c>
      <c r="M18" s="15" t="str">
        <f>IF(COUNTIFS(Data!$C$2:$C$251,$A18,Data!$G$2:$G$251,"Electronics")&gt;0,"Yes","No")</f>
        <v>Yes</v>
      </c>
      <c r="N18" s="15" t="str">
        <f>IF(COUNTIFS(Data!$C$2:$C$251,$A18,Data!$G$2:$G$251,"Furniture")&gt;0,"Yes","No")</f>
        <v>No</v>
      </c>
      <c r="O18" s="15" t="str">
        <f>IF(COUNTIFS(Data!$C$2:$C$251,$A18,Data!$G$2:$G$251,"Appliances")&gt;0,"Yes","No")</f>
        <v>No</v>
      </c>
      <c r="P18" s="15">
        <f>(COUNTIFS(Data!$C$2:$C$251,A18,Data!$L$2:$L$251,"Basic")&gt;0)+(COUNTIFS(Data!$C$2:$C$251,A18,Data!$L$2:$L$251,"Standard")&gt;0)+(COUNTIFS(Data!$C$2:$C$251,A18,Data!$L$2:$L$251,"Premium")&gt;0)</f>
        <v>2</v>
      </c>
      <c r="Q18" s="1"/>
      <c r="R18" s="1"/>
      <c r="S18" s="1"/>
      <c r="T18" s="1"/>
      <c r="U18" s="1"/>
    </row>
    <row r="19" spans="1:21" x14ac:dyDescent="0.3">
      <c r="A19" s="15" t="s">
        <v>150</v>
      </c>
      <c r="B19" s="15" t="str">
        <f>INDEX(Data!$D$2:$D$251,MATCH(A19,Data!$C$2:$C$251,0))</f>
        <v>Linda Martin</v>
      </c>
      <c r="C19" s="15" t="str">
        <f>INDEX(Data!$S$2:$S$251,MATCH(A19,Data!$C$2:$C$251,0))</f>
        <v>LM-014</v>
      </c>
      <c r="D19" s="15">
        <f>COUNTIF(Data!$C$2:$C$251,A19)</f>
        <v>4</v>
      </c>
      <c r="E19" s="15">
        <f>SUMIF(Data!$C$2:$C$251,A19,Data!$H$2:$H$251)</f>
        <v>10</v>
      </c>
      <c r="F19" s="17">
        <f>SUMIF(Data!$C$2:$C$251,A19,Data!$N$2:$N$251)</f>
        <v>1289.9000000000001</v>
      </c>
      <c r="G19" s="17">
        <f t="shared" si="0"/>
        <v>322.47500000000002</v>
      </c>
      <c r="H19" s="18">
        <f t="shared" si="1"/>
        <v>5.6280208507722791E-3</v>
      </c>
      <c r="I19" s="15">
        <f>RANK(F19,$F$6:$F$55)+COUNTIF($F$6:F19,F19)-1</f>
        <v>43</v>
      </c>
      <c r="J19" s="15" t="str">
        <f t="shared" si="2"/>
        <v>Regular</v>
      </c>
      <c r="K19" s="22">
        <f>SUMPRODUCT(MAX((Data!$C$2:$C$251=A19)*Data!$B$2:$B$251))</f>
        <v>45648</v>
      </c>
      <c r="L19" s="15">
        <f t="shared" ca="1" si="3"/>
        <v>677</v>
      </c>
      <c r="M19" s="15" t="str">
        <f>IF(COUNTIFS(Data!$C$2:$C$251,$A19,Data!$G$2:$G$251,"Electronics")&gt;0,"Yes","No")</f>
        <v>Yes</v>
      </c>
      <c r="N19" s="15" t="str">
        <f>IF(COUNTIFS(Data!$C$2:$C$251,$A19,Data!$G$2:$G$251,"Furniture")&gt;0,"Yes","No")</f>
        <v>Yes</v>
      </c>
      <c r="O19" s="15" t="str">
        <f>IF(COUNTIFS(Data!$C$2:$C$251,$A19,Data!$G$2:$G$251,"Appliances")&gt;0,"Yes","No")</f>
        <v>Yes</v>
      </c>
      <c r="P19" s="15">
        <f>(COUNTIFS(Data!$C$2:$C$251,A19,Data!$L$2:$L$251,"Basic")&gt;0)+(COUNTIFS(Data!$C$2:$C$251,A19,Data!$L$2:$L$251,"Standard")&gt;0)+(COUNTIFS(Data!$C$2:$C$251,A19,Data!$L$2:$L$251,"Premium")&gt;0)</f>
        <v>3</v>
      </c>
      <c r="Q19" s="1"/>
      <c r="R19" s="1"/>
      <c r="S19" s="1"/>
      <c r="T19" s="1"/>
      <c r="U19" s="1"/>
    </row>
    <row r="20" spans="1:21" x14ac:dyDescent="0.3">
      <c r="A20" s="15" t="s">
        <v>294</v>
      </c>
      <c r="B20" s="15" t="str">
        <f>INDEX(Data!$D$2:$D$251,MATCH(A20,Data!$C$2:$C$251,0))</f>
        <v>Richard Lee</v>
      </c>
      <c r="C20" s="15" t="str">
        <f>INDEX(Data!$S$2:$S$251,MATCH(A20,Data!$C$2:$C$251,0))</f>
        <v>RL-015</v>
      </c>
      <c r="D20" s="15">
        <f>COUNTIF(Data!$C$2:$C$251,A20)</f>
        <v>3</v>
      </c>
      <c r="E20" s="15">
        <f>SUMIF(Data!$C$2:$C$251,A20,Data!$H$2:$H$251)</f>
        <v>7</v>
      </c>
      <c r="F20" s="17">
        <f>SUMIF(Data!$C$2:$C$251,A20,Data!$N$2:$N$251)</f>
        <v>739.93000000000006</v>
      </c>
      <c r="G20" s="17">
        <f t="shared" si="0"/>
        <v>246.64333333333335</v>
      </c>
      <c r="H20" s="18">
        <f t="shared" si="1"/>
        <v>3.2284219459740543E-3</v>
      </c>
      <c r="I20" s="15">
        <f>RANK(F20,$F$6:$F$55)+COUNTIF($F$6:F20,F20)-1</f>
        <v>46</v>
      </c>
      <c r="J20" s="15" t="str">
        <f t="shared" si="2"/>
        <v>Regular</v>
      </c>
      <c r="K20" s="22">
        <f>SUMPRODUCT(MAX((Data!$C$2:$C$251=A20)*Data!$B$2:$B$251))</f>
        <v>45715</v>
      </c>
      <c r="L20" s="15">
        <f t="shared" ca="1" si="3"/>
        <v>610</v>
      </c>
      <c r="M20" s="15" t="str">
        <f>IF(COUNTIFS(Data!$C$2:$C$251,$A20,Data!$G$2:$G$251,"Electronics")&gt;0,"Yes","No")</f>
        <v>No</v>
      </c>
      <c r="N20" s="15" t="str">
        <f>IF(COUNTIFS(Data!$C$2:$C$251,$A20,Data!$G$2:$G$251,"Furniture")&gt;0,"Yes","No")</f>
        <v>Yes</v>
      </c>
      <c r="O20" s="15" t="str">
        <f>IF(COUNTIFS(Data!$C$2:$C$251,$A20,Data!$G$2:$G$251,"Appliances")&gt;0,"Yes","No")</f>
        <v>Yes</v>
      </c>
      <c r="P20" s="15">
        <f>(COUNTIFS(Data!$C$2:$C$251,A20,Data!$L$2:$L$251,"Basic")&gt;0)+(COUNTIFS(Data!$C$2:$C$251,A20,Data!$L$2:$L$251,"Standard")&gt;0)+(COUNTIFS(Data!$C$2:$C$251,A20,Data!$L$2:$L$251,"Premium")&gt;0)</f>
        <v>2</v>
      </c>
      <c r="Q20" s="1"/>
      <c r="R20" s="1"/>
      <c r="S20" s="1"/>
      <c r="T20" s="1"/>
      <c r="U20" s="1"/>
    </row>
    <row r="21" spans="1:21" x14ac:dyDescent="0.3">
      <c r="A21" s="15" t="s">
        <v>246</v>
      </c>
      <c r="B21" s="15" t="str">
        <f>INDEX(Data!$D$2:$D$251,MATCH(A21,Data!$C$2:$C$251,0))</f>
        <v>Elizabeth Hall</v>
      </c>
      <c r="C21" s="15" t="str">
        <f>INDEX(Data!$S$2:$S$251,MATCH(A21,Data!$C$2:$C$251,0))</f>
        <v>EH-016</v>
      </c>
      <c r="D21" s="15">
        <f>COUNTIF(Data!$C$2:$C$251,A21)</f>
        <v>4</v>
      </c>
      <c r="E21" s="15">
        <f>SUMIF(Data!$C$2:$C$251,A21,Data!$H$2:$H$251)</f>
        <v>14</v>
      </c>
      <c r="F21" s="17">
        <f>SUMIF(Data!$C$2:$C$251,A21,Data!$N$2:$N$251)</f>
        <v>3649.8599999999997</v>
      </c>
      <c r="G21" s="17">
        <f t="shared" si="0"/>
        <v>912.46499999999992</v>
      </c>
      <c r="H21" s="18">
        <f t="shared" si="1"/>
        <v>1.5924868735870772E-2</v>
      </c>
      <c r="I21" s="15">
        <f>RANK(F21,$F$6:$F$55)+COUNTIF($F$6:F21,F21)-1</f>
        <v>31</v>
      </c>
      <c r="J21" s="15" t="str">
        <f t="shared" si="2"/>
        <v>Regular</v>
      </c>
      <c r="K21" s="22">
        <f>SUMPRODUCT(MAX((Data!$C$2:$C$251=A21)*Data!$B$2:$B$251))</f>
        <v>45711</v>
      </c>
      <c r="L21" s="15">
        <f t="shared" ca="1" si="3"/>
        <v>614</v>
      </c>
      <c r="M21" s="15" t="str">
        <f>IF(COUNTIFS(Data!$C$2:$C$251,$A21,Data!$G$2:$G$251,"Electronics")&gt;0,"Yes","No")</f>
        <v>Yes</v>
      </c>
      <c r="N21" s="15" t="str">
        <f>IF(COUNTIFS(Data!$C$2:$C$251,$A21,Data!$G$2:$G$251,"Furniture")&gt;0,"Yes","No")</f>
        <v>Yes</v>
      </c>
      <c r="O21" s="15" t="str">
        <f>IF(COUNTIFS(Data!$C$2:$C$251,$A21,Data!$G$2:$G$251,"Appliances")&gt;0,"Yes","No")</f>
        <v>No</v>
      </c>
      <c r="P21" s="15">
        <f>(COUNTIFS(Data!$C$2:$C$251,A21,Data!$L$2:$L$251,"Basic")&gt;0)+(COUNTIFS(Data!$C$2:$C$251,A21,Data!$L$2:$L$251,"Standard")&gt;0)+(COUNTIFS(Data!$C$2:$C$251,A21,Data!$L$2:$L$251,"Premium")&gt;0)</f>
        <v>2</v>
      </c>
      <c r="Q21" s="1"/>
      <c r="R21" s="1"/>
      <c r="S21" s="1"/>
      <c r="T21" s="1"/>
      <c r="U21" s="1"/>
    </row>
    <row r="22" spans="1:21" x14ac:dyDescent="0.3">
      <c r="A22" s="15" t="s">
        <v>90</v>
      </c>
      <c r="B22" s="15" t="str">
        <f>INDEX(Data!$D$2:$D$251,MATCH(A22,Data!$C$2:$C$251,0))</f>
        <v>Charles Allen</v>
      </c>
      <c r="C22" s="15" t="str">
        <f>INDEX(Data!$S$2:$S$251,MATCH(A22,Data!$C$2:$C$251,0))</f>
        <v>CA-017</v>
      </c>
      <c r="D22" s="15">
        <f>COUNTIF(Data!$C$2:$C$251,A22)</f>
        <v>9</v>
      </c>
      <c r="E22" s="15">
        <f>SUMIF(Data!$C$2:$C$251,A22,Data!$H$2:$H$251)</f>
        <v>27</v>
      </c>
      <c r="F22" s="17">
        <f>SUMIF(Data!$C$2:$C$251,A22,Data!$N$2:$N$251)</f>
        <v>5089.7300000000005</v>
      </c>
      <c r="G22" s="17">
        <f t="shared" si="0"/>
        <v>565.52555555555557</v>
      </c>
      <c r="H22" s="18">
        <f t="shared" si="1"/>
        <v>2.2207230455695164E-2</v>
      </c>
      <c r="I22" s="15">
        <f>RANK(F22,$F$6:$F$55)+COUNTIF($F$6:F22,F22)-1</f>
        <v>20</v>
      </c>
      <c r="J22" s="15" t="str">
        <f t="shared" si="2"/>
        <v>Regular</v>
      </c>
      <c r="K22" s="22">
        <f>SUMPRODUCT(MAX((Data!$C$2:$C$251=A22)*Data!$B$2:$B$251))</f>
        <v>45724</v>
      </c>
      <c r="L22" s="15">
        <f t="shared" ca="1" si="3"/>
        <v>601</v>
      </c>
      <c r="M22" s="15" t="str">
        <f>IF(COUNTIFS(Data!$C$2:$C$251,$A22,Data!$G$2:$G$251,"Electronics")&gt;0,"Yes","No")</f>
        <v>Yes</v>
      </c>
      <c r="N22" s="15" t="str">
        <f>IF(COUNTIFS(Data!$C$2:$C$251,$A22,Data!$G$2:$G$251,"Furniture")&gt;0,"Yes","No")</f>
        <v>Yes</v>
      </c>
      <c r="O22" s="15" t="str">
        <f>IF(COUNTIFS(Data!$C$2:$C$251,$A22,Data!$G$2:$G$251,"Appliances")&gt;0,"Yes","No")</f>
        <v>Yes</v>
      </c>
      <c r="P22" s="15">
        <f>(COUNTIFS(Data!$C$2:$C$251,A22,Data!$L$2:$L$251,"Basic")&gt;0)+(COUNTIFS(Data!$C$2:$C$251,A22,Data!$L$2:$L$251,"Standard")&gt;0)+(COUNTIFS(Data!$C$2:$C$251,A22,Data!$L$2:$L$251,"Premium")&gt;0)</f>
        <v>3</v>
      </c>
      <c r="Q22" s="1"/>
      <c r="R22" s="1"/>
      <c r="S22" s="1"/>
      <c r="T22" s="1"/>
      <c r="U22" s="1"/>
    </row>
    <row r="23" spans="1:21" x14ac:dyDescent="0.3">
      <c r="A23" s="15" t="s">
        <v>131</v>
      </c>
      <c r="B23" s="15" t="str">
        <f>INDEX(Data!$D$2:$D$251,MATCH(A23,Data!$C$2:$C$251,0))</f>
        <v>Barbara Young</v>
      </c>
      <c r="C23" s="15" t="str">
        <f>INDEX(Data!$S$2:$S$251,MATCH(A23,Data!$C$2:$C$251,0))</f>
        <v>BY-018</v>
      </c>
      <c r="D23" s="15">
        <f>COUNTIF(Data!$C$2:$C$251,A23)</f>
        <v>5</v>
      </c>
      <c r="E23" s="15">
        <f>SUMIF(Data!$C$2:$C$251,A23,Data!$H$2:$H$251)</f>
        <v>20</v>
      </c>
      <c r="F23" s="17">
        <f>SUMIF(Data!$C$2:$C$251,A23,Data!$N$2:$N$251)</f>
        <v>10649.8</v>
      </c>
      <c r="G23" s="17">
        <f t="shared" si="0"/>
        <v>2129.96</v>
      </c>
      <c r="H23" s="18">
        <f t="shared" si="1"/>
        <v>4.6466622572722389E-2</v>
      </c>
      <c r="I23" s="15">
        <f>RANK(F23,$F$6:$F$55)+COUNTIF($F$6:F23,F23)-1</f>
        <v>3</v>
      </c>
      <c r="J23" s="15" t="str">
        <f t="shared" si="2"/>
        <v>High-Value</v>
      </c>
      <c r="K23" s="22">
        <f>SUMPRODUCT(MAX((Data!$C$2:$C$251=A23)*Data!$B$2:$B$251))</f>
        <v>45708</v>
      </c>
      <c r="L23" s="15">
        <f t="shared" ca="1" si="3"/>
        <v>617</v>
      </c>
      <c r="M23" s="15" t="str">
        <f>IF(COUNTIFS(Data!$C$2:$C$251,$A23,Data!$G$2:$G$251,"Electronics")&gt;0,"Yes","No")</f>
        <v>Yes</v>
      </c>
      <c r="N23" s="15" t="str">
        <f>IF(COUNTIFS(Data!$C$2:$C$251,$A23,Data!$G$2:$G$251,"Furniture")&gt;0,"Yes","No")</f>
        <v>No</v>
      </c>
      <c r="O23" s="15" t="str">
        <f>IF(COUNTIFS(Data!$C$2:$C$251,$A23,Data!$G$2:$G$251,"Appliances")&gt;0,"Yes","No")</f>
        <v>No</v>
      </c>
      <c r="P23" s="15">
        <f>(COUNTIFS(Data!$C$2:$C$251,A23,Data!$L$2:$L$251,"Basic")&gt;0)+(COUNTIFS(Data!$C$2:$C$251,A23,Data!$L$2:$L$251,"Standard")&gt;0)+(COUNTIFS(Data!$C$2:$C$251,A23,Data!$L$2:$L$251,"Premium")&gt;0)</f>
        <v>3</v>
      </c>
      <c r="Q23" s="1"/>
      <c r="R23" s="1"/>
      <c r="S23" s="1"/>
      <c r="T23" s="1"/>
      <c r="U23" s="1"/>
    </row>
    <row r="24" spans="1:21" x14ac:dyDescent="0.3">
      <c r="A24" s="15" t="s">
        <v>182</v>
      </c>
      <c r="B24" s="15" t="str">
        <f>INDEX(Data!$D$2:$D$251,MATCH(A24,Data!$C$2:$C$251,0))</f>
        <v>Daniel King</v>
      </c>
      <c r="C24" s="15" t="str">
        <f>INDEX(Data!$S$2:$S$251,MATCH(A24,Data!$C$2:$C$251,0))</f>
        <v>DK-019</v>
      </c>
      <c r="D24" s="15">
        <f>COUNTIF(Data!$C$2:$C$251,A24)</f>
        <v>7</v>
      </c>
      <c r="E24" s="15">
        <f>SUMIF(Data!$C$2:$C$251,A24,Data!$H$2:$H$251)</f>
        <v>20</v>
      </c>
      <c r="F24" s="17">
        <f>SUMIF(Data!$C$2:$C$251,A24,Data!$N$2:$N$251)</f>
        <v>7309.7999999999993</v>
      </c>
      <c r="G24" s="17">
        <f t="shared" si="0"/>
        <v>1044.2571428571428</v>
      </c>
      <c r="H24" s="18">
        <f t="shared" si="1"/>
        <v>3.1893717974242342E-2</v>
      </c>
      <c r="I24" s="15">
        <f>RANK(F24,$F$6:$F$55)+COUNTIF($F$6:F24,F24)-1</f>
        <v>8</v>
      </c>
      <c r="J24" s="15" t="str">
        <f t="shared" si="2"/>
        <v>High-Value</v>
      </c>
      <c r="K24" s="22">
        <f>SUMPRODUCT(MAX((Data!$C$2:$C$251=A24)*Data!$B$2:$B$251))</f>
        <v>45660</v>
      </c>
      <c r="L24" s="15">
        <f t="shared" ca="1" si="3"/>
        <v>665</v>
      </c>
      <c r="M24" s="15" t="str">
        <f>IF(COUNTIFS(Data!$C$2:$C$251,$A24,Data!$G$2:$G$251,"Electronics")&gt;0,"Yes","No")</f>
        <v>Yes</v>
      </c>
      <c r="N24" s="15" t="str">
        <f>IF(COUNTIFS(Data!$C$2:$C$251,$A24,Data!$G$2:$G$251,"Furniture")&gt;0,"Yes","No")</f>
        <v>Yes</v>
      </c>
      <c r="O24" s="15" t="str">
        <f>IF(COUNTIFS(Data!$C$2:$C$251,$A24,Data!$G$2:$G$251,"Appliances")&gt;0,"Yes","No")</f>
        <v>Yes</v>
      </c>
      <c r="P24" s="15">
        <f>(COUNTIFS(Data!$C$2:$C$251,A24,Data!$L$2:$L$251,"Basic")&gt;0)+(COUNTIFS(Data!$C$2:$C$251,A24,Data!$L$2:$L$251,"Standard")&gt;0)+(COUNTIFS(Data!$C$2:$C$251,A24,Data!$L$2:$L$251,"Premium")&gt;0)</f>
        <v>3</v>
      </c>
      <c r="Q24" s="1"/>
      <c r="R24" s="1"/>
      <c r="S24" s="1"/>
      <c r="T24" s="1"/>
      <c r="U24" s="1"/>
    </row>
    <row r="25" spans="1:21" x14ac:dyDescent="0.3">
      <c r="A25" s="15" t="s">
        <v>220</v>
      </c>
      <c r="B25" s="15" t="str">
        <f>INDEX(Data!$D$2:$D$251,MATCH(A25,Data!$C$2:$C$251,0))</f>
        <v>Margaret Wright</v>
      </c>
      <c r="C25" s="15" t="str">
        <f>INDEX(Data!$S$2:$S$251,MATCH(A25,Data!$C$2:$C$251,0))</f>
        <v>MW-020</v>
      </c>
      <c r="D25" s="15">
        <f>COUNTIF(Data!$C$2:$C$251,A25)</f>
        <v>4</v>
      </c>
      <c r="E25" s="15">
        <f>SUMIF(Data!$C$2:$C$251,A25,Data!$H$2:$H$251)</f>
        <v>12</v>
      </c>
      <c r="F25" s="17">
        <f>SUMIF(Data!$C$2:$C$251,A25,Data!$N$2:$N$251)</f>
        <v>2099.88</v>
      </c>
      <c r="G25" s="17">
        <f t="shared" si="0"/>
        <v>524.97</v>
      </c>
      <c r="H25" s="18">
        <f t="shared" si="1"/>
        <v>9.1620811102563707E-3</v>
      </c>
      <c r="I25" s="15">
        <f>RANK(F25,$F$6:$F$55)+COUNTIF($F$6:F25,F25)-1</f>
        <v>35</v>
      </c>
      <c r="J25" s="15" t="str">
        <f t="shared" si="2"/>
        <v>Regular</v>
      </c>
      <c r="K25" s="22">
        <f>SUMPRODUCT(MAX((Data!$C$2:$C$251=A25)*Data!$B$2:$B$251))</f>
        <v>45745</v>
      </c>
      <c r="L25" s="15">
        <f t="shared" ca="1" si="3"/>
        <v>580</v>
      </c>
      <c r="M25" s="15" t="str">
        <f>IF(COUNTIFS(Data!$C$2:$C$251,$A25,Data!$G$2:$G$251,"Electronics")&gt;0,"Yes","No")</f>
        <v>Yes</v>
      </c>
      <c r="N25" s="15" t="str">
        <f>IF(COUNTIFS(Data!$C$2:$C$251,$A25,Data!$G$2:$G$251,"Furniture")&gt;0,"Yes","No")</f>
        <v>Yes</v>
      </c>
      <c r="O25" s="15" t="str">
        <f>IF(COUNTIFS(Data!$C$2:$C$251,$A25,Data!$G$2:$G$251,"Appliances")&gt;0,"Yes","No")</f>
        <v>No</v>
      </c>
      <c r="P25" s="15">
        <f>(COUNTIFS(Data!$C$2:$C$251,A25,Data!$L$2:$L$251,"Basic")&gt;0)+(COUNTIFS(Data!$C$2:$C$251,A25,Data!$L$2:$L$251,"Standard")&gt;0)+(COUNTIFS(Data!$C$2:$C$251,A25,Data!$L$2:$L$251,"Premium")&gt;0)</f>
        <v>2</v>
      </c>
      <c r="Q25" s="1"/>
      <c r="R25" s="1"/>
      <c r="S25" s="1"/>
      <c r="T25" s="1"/>
      <c r="U25" s="1"/>
    </row>
    <row r="26" spans="1:21" x14ac:dyDescent="0.3">
      <c r="A26" s="15" t="s">
        <v>64</v>
      </c>
      <c r="B26" s="15" t="str">
        <f>INDEX(Data!$D$2:$D$251,MATCH(A26,Data!$C$2:$C$251,0))</f>
        <v>Kevin Scott</v>
      </c>
      <c r="C26" s="15" t="str">
        <f>INDEX(Data!$S$2:$S$251,MATCH(A26,Data!$C$2:$C$251,0))</f>
        <v>KS-021</v>
      </c>
      <c r="D26" s="15">
        <f>COUNTIF(Data!$C$2:$C$251,A26)</f>
        <v>6</v>
      </c>
      <c r="E26" s="15">
        <f>SUMIF(Data!$C$2:$C$251,A26,Data!$H$2:$H$251)</f>
        <v>13</v>
      </c>
      <c r="F26" s="17">
        <f>SUMIF(Data!$C$2:$C$251,A26,Data!$N$2:$N$251)</f>
        <v>3259.87</v>
      </c>
      <c r="G26" s="17">
        <f t="shared" si="0"/>
        <v>543.31166666666661</v>
      </c>
      <c r="H26" s="18">
        <f t="shared" si="1"/>
        <v>1.4223285782469206E-2</v>
      </c>
      <c r="I26" s="15">
        <f>RANK(F26,$F$6:$F$55)+COUNTIF($F$6:F26,F26)-1</f>
        <v>33</v>
      </c>
      <c r="J26" s="15" t="str">
        <f t="shared" si="2"/>
        <v>Regular</v>
      </c>
      <c r="K26" s="22">
        <f>SUMPRODUCT(MAX((Data!$C$2:$C$251=A26)*Data!$B$2:$B$251))</f>
        <v>45704</v>
      </c>
      <c r="L26" s="15">
        <f t="shared" ca="1" si="3"/>
        <v>621</v>
      </c>
      <c r="M26" s="15" t="str">
        <f>IF(COUNTIFS(Data!$C$2:$C$251,$A26,Data!$G$2:$G$251,"Electronics")&gt;0,"Yes","No")</f>
        <v>Yes</v>
      </c>
      <c r="N26" s="15" t="str">
        <f>IF(COUNTIFS(Data!$C$2:$C$251,$A26,Data!$G$2:$G$251,"Furniture")&gt;0,"Yes","No")</f>
        <v>Yes</v>
      </c>
      <c r="O26" s="15" t="str">
        <f>IF(COUNTIFS(Data!$C$2:$C$251,$A26,Data!$G$2:$G$251,"Appliances")&gt;0,"Yes","No")</f>
        <v>Yes</v>
      </c>
      <c r="P26" s="15">
        <f>(COUNTIFS(Data!$C$2:$C$251,A26,Data!$L$2:$L$251,"Basic")&gt;0)+(COUNTIFS(Data!$C$2:$C$251,A26,Data!$L$2:$L$251,"Standard")&gt;0)+(COUNTIFS(Data!$C$2:$C$251,A26,Data!$L$2:$L$251,"Premium")&gt;0)</f>
        <v>3</v>
      </c>
      <c r="Q26" s="1"/>
      <c r="R26" s="1"/>
      <c r="S26" s="1"/>
      <c r="T26" s="1"/>
      <c r="U26" s="1"/>
    </row>
    <row r="27" spans="1:21" x14ac:dyDescent="0.3">
      <c r="A27" s="15" t="s">
        <v>100</v>
      </c>
      <c r="B27" s="15" t="str">
        <f>INDEX(Data!$D$2:$D$251,MATCH(A27,Data!$C$2:$C$251,0))</f>
        <v>Susan Green</v>
      </c>
      <c r="C27" s="15" t="str">
        <f>INDEX(Data!$S$2:$S$251,MATCH(A27,Data!$C$2:$C$251,0))</f>
        <v>SG-022</v>
      </c>
      <c r="D27" s="15">
        <f>COUNTIF(Data!$C$2:$C$251,A27)</f>
        <v>4</v>
      </c>
      <c r="E27" s="15">
        <f>SUMIF(Data!$C$2:$C$251,A27,Data!$H$2:$H$251)</f>
        <v>11</v>
      </c>
      <c r="F27" s="17">
        <f>SUMIF(Data!$C$2:$C$251,A27,Data!$N$2:$N$251)</f>
        <v>1979.89</v>
      </c>
      <c r="G27" s="17">
        <f t="shared" si="0"/>
        <v>494.97250000000003</v>
      </c>
      <c r="H27" s="18">
        <f t="shared" si="1"/>
        <v>8.6385473309834315E-3</v>
      </c>
      <c r="I27" s="15">
        <f>RANK(F27,$F$6:$F$55)+COUNTIF($F$6:F27,F27)-1</f>
        <v>37</v>
      </c>
      <c r="J27" s="15" t="str">
        <f t="shared" si="2"/>
        <v>Regular</v>
      </c>
      <c r="K27" s="22">
        <f>SUMPRODUCT(MAX((Data!$C$2:$C$251=A27)*Data!$B$2:$B$251))</f>
        <v>45682</v>
      </c>
      <c r="L27" s="15">
        <f t="shared" ca="1" si="3"/>
        <v>643</v>
      </c>
      <c r="M27" s="15" t="str">
        <f>IF(COUNTIFS(Data!$C$2:$C$251,$A27,Data!$G$2:$G$251,"Electronics")&gt;0,"Yes","No")</f>
        <v>Yes</v>
      </c>
      <c r="N27" s="15" t="str">
        <f>IF(COUNTIFS(Data!$C$2:$C$251,$A27,Data!$G$2:$G$251,"Furniture")&gt;0,"Yes","No")</f>
        <v>Yes</v>
      </c>
      <c r="O27" s="15" t="str">
        <f>IF(COUNTIFS(Data!$C$2:$C$251,$A27,Data!$G$2:$G$251,"Appliances")&gt;0,"Yes","No")</f>
        <v>Yes</v>
      </c>
      <c r="P27" s="15">
        <f>(COUNTIFS(Data!$C$2:$C$251,A27,Data!$L$2:$L$251,"Basic")&gt;0)+(COUNTIFS(Data!$C$2:$C$251,A27,Data!$L$2:$L$251,"Standard")&gt;0)+(COUNTIFS(Data!$C$2:$C$251,A27,Data!$L$2:$L$251,"Premium")&gt;0)</f>
        <v>2</v>
      </c>
      <c r="Q27" s="1"/>
      <c r="R27" s="1"/>
      <c r="S27" s="1"/>
      <c r="T27" s="1"/>
      <c r="U27" s="1"/>
    </row>
    <row r="28" spans="1:21" x14ac:dyDescent="0.3">
      <c r="A28" s="15" t="s">
        <v>50</v>
      </c>
      <c r="B28" s="15" t="str">
        <f>INDEX(Data!$D$2:$D$251,MATCH(A28,Data!$C$2:$C$251,0))</f>
        <v>Paul Baker</v>
      </c>
      <c r="C28" s="15" t="str">
        <f>INDEX(Data!$S$2:$S$251,MATCH(A28,Data!$C$2:$C$251,0))</f>
        <v>PB-023</v>
      </c>
      <c r="D28" s="15">
        <f>COUNTIF(Data!$C$2:$C$251,A28)</f>
        <v>8</v>
      </c>
      <c r="E28" s="15">
        <f>SUMIF(Data!$C$2:$C$251,A28,Data!$H$2:$H$251)</f>
        <v>26</v>
      </c>
      <c r="F28" s="17">
        <f>SUMIF(Data!$C$2:$C$251,A28,Data!$N$2:$N$251)</f>
        <v>8309.739999999998</v>
      </c>
      <c r="G28" s="17">
        <f t="shared" si="0"/>
        <v>1038.7174999999997</v>
      </c>
      <c r="H28" s="18">
        <f t="shared" si="1"/>
        <v>3.625660127490226E-2</v>
      </c>
      <c r="I28" s="15">
        <f>RANK(F28,$F$6:$F$55)+COUNTIF($F$6:F28,F28)-1</f>
        <v>5</v>
      </c>
      <c r="J28" s="15" t="str">
        <f t="shared" si="2"/>
        <v>High-Value</v>
      </c>
      <c r="K28" s="22">
        <f>SUMPRODUCT(MAX((Data!$C$2:$C$251=A28)*Data!$B$2:$B$251))</f>
        <v>45739</v>
      </c>
      <c r="L28" s="15">
        <f t="shared" ca="1" si="3"/>
        <v>586</v>
      </c>
      <c r="M28" s="15" t="str">
        <f>IF(COUNTIFS(Data!$C$2:$C$251,$A28,Data!$G$2:$G$251,"Electronics")&gt;0,"Yes","No")</f>
        <v>Yes</v>
      </c>
      <c r="N28" s="15" t="str">
        <f>IF(COUNTIFS(Data!$C$2:$C$251,$A28,Data!$G$2:$G$251,"Furniture")&gt;0,"Yes","No")</f>
        <v>Yes</v>
      </c>
      <c r="O28" s="15" t="str">
        <f>IF(COUNTIFS(Data!$C$2:$C$251,$A28,Data!$G$2:$G$251,"Appliances")&gt;0,"Yes","No")</f>
        <v>Yes</v>
      </c>
      <c r="P28" s="15">
        <f>(COUNTIFS(Data!$C$2:$C$251,A28,Data!$L$2:$L$251,"Basic")&gt;0)+(COUNTIFS(Data!$C$2:$C$251,A28,Data!$L$2:$L$251,"Standard")&gt;0)+(COUNTIFS(Data!$C$2:$C$251,A28,Data!$L$2:$L$251,"Premium")&gt;0)</f>
        <v>3</v>
      </c>
      <c r="Q28" s="1"/>
      <c r="R28" s="1"/>
      <c r="S28" s="1"/>
      <c r="T28" s="1"/>
      <c r="U28" s="1"/>
    </row>
    <row r="29" spans="1:21" x14ac:dyDescent="0.3">
      <c r="A29" s="15" t="s">
        <v>83</v>
      </c>
      <c r="B29" s="15" t="str">
        <f>INDEX(Data!$D$2:$D$251,MATCH(A29,Data!$C$2:$C$251,0))</f>
        <v>Dorothy Nelson</v>
      </c>
      <c r="C29" s="15" t="str">
        <f>INDEX(Data!$S$2:$S$251,MATCH(A29,Data!$C$2:$C$251,0))</f>
        <v>DN-024</v>
      </c>
      <c r="D29" s="15">
        <f>COUNTIF(Data!$C$2:$C$251,A29)</f>
        <v>6</v>
      </c>
      <c r="E29" s="15">
        <f>SUMIF(Data!$C$2:$C$251,A29,Data!$H$2:$H$251)</f>
        <v>21</v>
      </c>
      <c r="F29" s="17">
        <f>SUMIF(Data!$C$2:$C$251,A29,Data!$N$2:$N$251)</f>
        <v>8269.7900000000009</v>
      </c>
      <c r="G29" s="17">
        <f t="shared" si="0"/>
        <v>1378.2983333333334</v>
      </c>
      <c r="H29" s="18">
        <f t="shared" si="1"/>
        <v>3.6082293628582132E-2</v>
      </c>
      <c r="I29" s="15">
        <f>RANK(F29,$F$6:$F$55)+COUNTIF($F$6:F29,F29)-1</f>
        <v>6</v>
      </c>
      <c r="J29" s="15" t="str">
        <f t="shared" si="2"/>
        <v>High-Value</v>
      </c>
      <c r="K29" s="22">
        <f>SUMPRODUCT(MAX((Data!$C$2:$C$251=A29)*Data!$B$2:$B$251))</f>
        <v>45737</v>
      </c>
      <c r="L29" s="15">
        <f t="shared" ca="1" si="3"/>
        <v>588</v>
      </c>
      <c r="M29" s="15" t="str">
        <f>IF(COUNTIFS(Data!$C$2:$C$251,$A29,Data!$G$2:$G$251,"Electronics")&gt;0,"Yes","No")</f>
        <v>Yes</v>
      </c>
      <c r="N29" s="15" t="str">
        <f>IF(COUNTIFS(Data!$C$2:$C$251,$A29,Data!$G$2:$G$251,"Furniture")&gt;0,"Yes","No")</f>
        <v>Yes</v>
      </c>
      <c r="O29" s="15" t="str">
        <f>IF(COUNTIFS(Data!$C$2:$C$251,$A29,Data!$G$2:$G$251,"Appliances")&gt;0,"Yes","No")</f>
        <v>Yes</v>
      </c>
      <c r="P29" s="15">
        <f>(COUNTIFS(Data!$C$2:$C$251,A29,Data!$L$2:$L$251,"Basic")&gt;0)+(COUNTIFS(Data!$C$2:$C$251,A29,Data!$L$2:$L$251,"Standard")&gt;0)+(COUNTIFS(Data!$C$2:$C$251,A29,Data!$L$2:$L$251,"Premium")&gt;0)</f>
        <v>3</v>
      </c>
      <c r="Q29" s="1"/>
      <c r="R29" s="1"/>
      <c r="S29" s="1"/>
      <c r="T29" s="1"/>
      <c r="U29" s="1"/>
    </row>
    <row r="30" spans="1:21" x14ac:dyDescent="0.3">
      <c r="A30" s="15" t="s">
        <v>121</v>
      </c>
      <c r="B30" s="15" t="str">
        <f>INDEX(Data!$D$2:$D$251,MATCH(A30,Data!$C$2:$C$251,0))</f>
        <v>Mark Carter</v>
      </c>
      <c r="C30" s="15" t="str">
        <f>INDEX(Data!$S$2:$S$251,MATCH(A30,Data!$C$2:$C$251,0))</f>
        <v>MC-025</v>
      </c>
      <c r="D30" s="15">
        <f>COUNTIF(Data!$C$2:$C$251,A30)</f>
        <v>12</v>
      </c>
      <c r="E30" s="15">
        <f>SUMIF(Data!$C$2:$C$251,A30,Data!$H$2:$H$251)</f>
        <v>35</v>
      </c>
      <c r="F30" s="17">
        <f>SUMIF(Data!$C$2:$C$251,A30,Data!$N$2:$N$251)</f>
        <v>15659.65</v>
      </c>
      <c r="G30" s="17">
        <f t="shared" si="0"/>
        <v>1304.9708333333333</v>
      </c>
      <c r="H30" s="18">
        <f t="shared" si="1"/>
        <v>6.8325324998679049E-2</v>
      </c>
      <c r="I30" s="15">
        <f>RANK(F30,$F$6:$F$55)+COUNTIF($F$6:F30,F30)-1</f>
        <v>1</v>
      </c>
      <c r="J30" s="15" t="str">
        <f t="shared" si="2"/>
        <v>High-Value</v>
      </c>
      <c r="K30" s="22">
        <f>SUMPRODUCT(MAX((Data!$C$2:$C$251=A30)*Data!$B$2:$B$251))</f>
        <v>45686</v>
      </c>
      <c r="L30" s="15">
        <f t="shared" ca="1" si="3"/>
        <v>639</v>
      </c>
      <c r="M30" s="15" t="str">
        <f>IF(COUNTIFS(Data!$C$2:$C$251,$A30,Data!$G$2:$G$251,"Electronics")&gt;0,"Yes","No")</f>
        <v>Yes</v>
      </c>
      <c r="N30" s="15" t="str">
        <f>IF(COUNTIFS(Data!$C$2:$C$251,$A30,Data!$G$2:$G$251,"Furniture")&gt;0,"Yes","No")</f>
        <v>Yes</v>
      </c>
      <c r="O30" s="15" t="str">
        <f>IF(COUNTIFS(Data!$C$2:$C$251,$A30,Data!$G$2:$G$251,"Appliances")&gt;0,"Yes","No")</f>
        <v>No</v>
      </c>
      <c r="P30" s="15">
        <f>(COUNTIFS(Data!$C$2:$C$251,A30,Data!$L$2:$L$251,"Basic")&gt;0)+(COUNTIFS(Data!$C$2:$C$251,A30,Data!$L$2:$L$251,"Standard")&gt;0)+(COUNTIFS(Data!$C$2:$C$251,A30,Data!$L$2:$L$251,"Premium")&gt;0)</f>
        <v>3</v>
      </c>
      <c r="Q30" s="1"/>
      <c r="R30" s="1"/>
      <c r="S30" s="1"/>
      <c r="T30" s="1"/>
      <c r="U30" s="1"/>
    </row>
    <row r="31" spans="1:21" x14ac:dyDescent="0.3">
      <c r="A31" s="15" t="s">
        <v>103</v>
      </c>
      <c r="B31" s="15" t="str">
        <f>INDEX(Data!$D$2:$D$251,MATCH(A31,Data!$C$2:$C$251,0))</f>
        <v>Karen Hill</v>
      </c>
      <c r="C31" s="15" t="str">
        <f>INDEX(Data!$S$2:$S$251,MATCH(A31,Data!$C$2:$C$251,0))</f>
        <v>KH-026</v>
      </c>
      <c r="D31" s="15">
        <f>COUNTIF(Data!$C$2:$C$251,A31)</f>
        <v>8</v>
      </c>
      <c r="E31" s="15">
        <f>SUMIF(Data!$C$2:$C$251,A31,Data!$H$2:$H$251)</f>
        <v>23</v>
      </c>
      <c r="F31" s="17">
        <f>SUMIF(Data!$C$2:$C$251,A31,Data!$N$2:$N$251)</f>
        <v>8009.7699999999995</v>
      </c>
      <c r="G31" s="17">
        <f t="shared" si="0"/>
        <v>1001.2212499999999</v>
      </c>
      <c r="H31" s="18">
        <f t="shared" si="1"/>
        <v>3.4947788642445361E-2</v>
      </c>
      <c r="I31" s="15">
        <f>RANK(F31,$F$6:$F$55)+COUNTIF($F$6:F31,F31)-1</f>
        <v>7</v>
      </c>
      <c r="J31" s="15" t="str">
        <f t="shared" si="2"/>
        <v>High-Value</v>
      </c>
      <c r="K31" s="22">
        <f>SUMPRODUCT(MAX((Data!$C$2:$C$251=A31)*Data!$B$2:$B$251))</f>
        <v>45746</v>
      </c>
      <c r="L31" s="15">
        <f t="shared" ca="1" si="3"/>
        <v>579</v>
      </c>
      <c r="M31" s="15" t="str">
        <f>IF(COUNTIFS(Data!$C$2:$C$251,$A31,Data!$G$2:$G$251,"Electronics")&gt;0,"Yes","No")</f>
        <v>Yes</v>
      </c>
      <c r="N31" s="15" t="str">
        <f>IF(COUNTIFS(Data!$C$2:$C$251,$A31,Data!$G$2:$G$251,"Furniture")&gt;0,"Yes","No")</f>
        <v>Yes</v>
      </c>
      <c r="O31" s="15" t="str">
        <f>IF(COUNTIFS(Data!$C$2:$C$251,$A31,Data!$G$2:$G$251,"Appliances")&gt;0,"Yes","No")</f>
        <v>Yes</v>
      </c>
      <c r="P31" s="15">
        <f>(COUNTIFS(Data!$C$2:$C$251,A31,Data!$L$2:$L$251,"Basic")&gt;0)+(COUNTIFS(Data!$C$2:$C$251,A31,Data!$L$2:$L$251,"Standard")&gt;0)+(COUNTIFS(Data!$C$2:$C$251,A31,Data!$L$2:$L$251,"Premium")&gt;0)</f>
        <v>3</v>
      </c>
      <c r="Q31" s="1"/>
      <c r="R31" s="1"/>
      <c r="S31" s="1"/>
      <c r="T31" s="1"/>
      <c r="U31" s="1"/>
    </row>
    <row r="32" spans="1:21" x14ac:dyDescent="0.3">
      <c r="A32" s="15" t="s">
        <v>118</v>
      </c>
      <c r="B32" s="15" t="str">
        <f>INDEX(Data!$D$2:$D$251,MATCH(A32,Data!$C$2:$C$251,0))</f>
        <v>George Adams</v>
      </c>
      <c r="C32" s="15" t="str">
        <f>INDEX(Data!$S$2:$S$251,MATCH(A32,Data!$C$2:$C$251,0))</f>
        <v>GA-027</v>
      </c>
      <c r="D32" s="15">
        <f>COUNTIF(Data!$C$2:$C$251,A32)</f>
        <v>3</v>
      </c>
      <c r="E32" s="15">
        <f>SUMIF(Data!$C$2:$C$251,A32,Data!$H$2:$H$251)</f>
        <v>7</v>
      </c>
      <c r="F32" s="17">
        <f>SUMIF(Data!$C$2:$C$251,A32,Data!$N$2:$N$251)</f>
        <v>3779.93</v>
      </c>
      <c r="G32" s="17">
        <f t="shared" si="0"/>
        <v>1259.9766666666667</v>
      </c>
      <c r="H32" s="18">
        <f t="shared" si="1"/>
        <v>1.6492383017644514E-2</v>
      </c>
      <c r="I32" s="15">
        <f>RANK(F32,$F$6:$F$55)+COUNTIF($F$6:F32,F32)-1</f>
        <v>28</v>
      </c>
      <c r="J32" s="15" t="str">
        <f t="shared" si="2"/>
        <v>Regular</v>
      </c>
      <c r="K32" s="22">
        <f>SUMPRODUCT(MAX((Data!$C$2:$C$251=A32)*Data!$B$2:$B$251))</f>
        <v>45608</v>
      </c>
      <c r="L32" s="15">
        <f t="shared" ca="1" si="3"/>
        <v>717</v>
      </c>
      <c r="M32" s="15" t="str">
        <f>IF(COUNTIFS(Data!$C$2:$C$251,$A32,Data!$G$2:$G$251,"Electronics")&gt;0,"Yes","No")</f>
        <v>Yes</v>
      </c>
      <c r="N32" s="15" t="str">
        <f>IF(COUNTIFS(Data!$C$2:$C$251,$A32,Data!$G$2:$G$251,"Furniture")&gt;0,"Yes","No")</f>
        <v>No</v>
      </c>
      <c r="O32" s="15" t="str">
        <f>IF(COUNTIFS(Data!$C$2:$C$251,$A32,Data!$G$2:$G$251,"Appliances")&gt;0,"Yes","No")</f>
        <v>Yes</v>
      </c>
      <c r="P32" s="15">
        <f>(COUNTIFS(Data!$C$2:$C$251,A32,Data!$L$2:$L$251,"Basic")&gt;0)+(COUNTIFS(Data!$C$2:$C$251,A32,Data!$L$2:$L$251,"Standard")&gt;0)+(COUNTIFS(Data!$C$2:$C$251,A32,Data!$L$2:$L$251,"Premium")&gt;0)</f>
        <v>2</v>
      </c>
      <c r="Q32" s="1"/>
      <c r="R32" s="1"/>
      <c r="S32" s="1"/>
      <c r="T32" s="1"/>
      <c r="U32" s="1"/>
    </row>
    <row r="33" spans="1:21" x14ac:dyDescent="0.3">
      <c r="A33" s="15" t="s">
        <v>192</v>
      </c>
      <c r="B33" s="15" t="str">
        <f>INDEX(Data!$D$2:$D$251,MATCH(A33,Data!$C$2:$C$251,0))</f>
        <v>Betty Campbell</v>
      </c>
      <c r="C33" s="15" t="str">
        <f>INDEX(Data!$S$2:$S$251,MATCH(A33,Data!$C$2:$C$251,0))</f>
        <v>BC-028</v>
      </c>
      <c r="D33" s="15">
        <f>COUNTIF(Data!$C$2:$C$251,A33)</f>
        <v>5</v>
      </c>
      <c r="E33" s="15">
        <f>SUMIF(Data!$C$2:$C$251,A33,Data!$H$2:$H$251)</f>
        <v>16</v>
      </c>
      <c r="F33" s="17">
        <f>SUMIF(Data!$C$2:$C$251,A33,Data!$N$2:$N$251)</f>
        <v>5649.84</v>
      </c>
      <c r="G33" s="17">
        <f t="shared" si="0"/>
        <v>1129.9680000000001</v>
      </c>
      <c r="H33" s="18">
        <f t="shared" si="1"/>
        <v>2.4651071651699552E-2</v>
      </c>
      <c r="I33" s="15">
        <f>RANK(F33,$F$6:$F$55)+COUNTIF($F$6:F33,F33)-1</f>
        <v>16</v>
      </c>
      <c r="J33" s="15" t="str">
        <f t="shared" si="2"/>
        <v>Regular</v>
      </c>
      <c r="K33" s="22">
        <f>SUMPRODUCT(MAX((Data!$C$2:$C$251=A33)*Data!$B$2:$B$251))</f>
        <v>45671</v>
      </c>
      <c r="L33" s="15">
        <f t="shared" ca="1" si="3"/>
        <v>654</v>
      </c>
      <c r="M33" s="15" t="str">
        <f>IF(COUNTIFS(Data!$C$2:$C$251,$A33,Data!$G$2:$G$251,"Electronics")&gt;0,"Yes","No")</f>
        <v>Yes</v>
      </c>
      <c r="N33" s="15" t="str">
        <f>IF(COUNTIFS(Data!$C$2:$C$251,$A33,Data!$G$2:$G$251,"Furniture")&gt;0,"Yes","No")</f>
        <v>Yes</v>
      </c>
      <c r="O33" s="15" t="str">
        <f>IF(COUNTIFS(Data!$C$2:$C$251,$A33,Data!$G$2:$G$251,"Appliances")&gt;0,"Yes","No")</f>
        <v>Yes</v>
      </c>
      <c r="P33" s="15">
        <f>(COUNTIFS(Data!$C$2:$C$251,A33,Data!$L$2:$L$251,"Basic")&gt;0)+(COUNTIFS(Data!$C$2:$C$251,A33,Data!$L$2:$L$251,"Standard")&gt;0)+(COUNTIFS(Data!$C$2:$C$251,A33,Data!$L$2:$L$251,"Premium")&gt;0)</f>
        <v>2</v>
      </c>
      <c r="Q33" s="1"/>
      <c r="R33" s="1"/>
      <c r="S33" s="1"/>
      <c r="T33" s="1"/>
      <c r="U33" s="1"/>
    </row>
    <row r="34" spans="1:21" x14ac:dyDescent="0.3">
      <c r="A34" s="15" t="s">
        <v>161</v>
      </c>
      <c r="B34" s="15" t="str">
        <f>INDEX(Data!$D$2:$D$251,MATCH(A34,Data!$C$2:$C$251,0))</f>
        <v>Edward Mitchell</v>
      </c>
      <c r="C34" s="15" t="str">
        <f>INDEX(Data!$S$2:$S$251,MATCH(A34,Data!$C$2:$C$251,0))</f>
        <v>EM-029</v>
      </c>
      <c r="D34" s="15">
        <f>COUNTIF(Data!$C$2:$C$251,A34)</f>
        <v>6</v>
      </c>
      <c r="E34" s="15">
        <f>SUMIF(Data!$C$2:$C$251,A34,Data!$H$2:$H$251)</f>
        <v>23</v>
      </c>
      <c r="F34" s="17">
        <f>SUMIF(Data!$C$2:$C$251,A34,Data!$N$2:$N$251)</f>
        <v>11919.77</v>
      </c>
      <c r="G34" s="17">
        <f t="shared" si="0"/>
        <v>1986.6283333333333</v>
      </c>
      <c r="H34" s="18">
        <f t="shared" si="1"/>
        <v>5.2007685941863627E-2</v>
      </c>
      <c r="I34" s="15">
        <f>RANK(F34,$F$6:$F$55)+COUNTIF($F$6:F34,F34)-1</f>
        <v>2</v>
      </c>
      <c r="J34" s="15" t="str">
        <f t="shared" si="2"/>
        <v>High-Value</v>
      </c>
      <c r="K34" s="22">
        <f>SUMPRODUCT(MAX((Data!$C$2:$C$251=A34)*Data!$B$2:$B$251))</f>
        <v>45749</v>
      </c>
      <c r="L34" s="15">
        <f t="shared" ca="1" si="3"/>
        <v>576</v>
      </c>
      <c r="M34" s="15" t="str">
        <f>IF(COUNTIFS(Data!$C$2:$C$251,$A34,Data!$G$2:$G$251,"Electronics")&gt;0,"Yes","No")</f>
        <v>Yes</v>
      </c>
      <c r="N34" s="15" t="str">
        <f>IF(COUNTIFS(Data!$C$2:$C$251,$A34,Data!$G$2:$G$251,"Furniture")&gt;0,"Yes","No")</f>
        <v>Yes</v>
      </c>
      <c r="O34" s="15" t="str">
        <f>IF(COUNTIFS(Data!$C$2:$C$251,$A34,Data!$G$2:$G$251,"Appliances")&gt;0,"Yes","No")</f>
        <v>Yes</v>
      </c>
      <c r="P34" s="15">
        <f>(COUNTIFS(Data!$C$2:$C$251,A34,Data!$L$2:$L$251,"Basic")&gt;0)+(COUNTIFS(Data!$C$2:$C$251,A34,Data!$L$2:$L$251,"Standard")&gt;0)+(COUNTIFS(Data!$C$2:$C$251,A34,Data!$L$2:$L$251,"Premium")&gt;0)</f>
        <v>3</v>
      </c>
      <c r="Q34" s="1"/>
      <c r="R34" s="1"/>
      <c r="S34" s="1"/>
      <c r="T34" s="1"/>
      <c r="U34" s="1"/>
    </row>
    <row r="35" spans="1:21" x14ac:dyDescent="0.3">
      <c r="A35" s="15" t="s">
        <v>155</v>
      </c>
      <c r="B35" s="15" t="str">
        <f>INDEX(Data!$D$2:$D$251,MATCH(A35,Data!$C$2:$C$251,0))</f>
        <v>Helen Roberts</v>
      </c>
      <c r="C35" s="15" t="str">
        <f>INDEX(Data!$S$2:$S$251,MATCH(A35,Data!$C$2:$C$251,0))</f>
        <v>HR-030</v>
      </c>
      <c r="D35" s="15">
        <f>COUNTIF(Data!$C$2:$C$251,A35)</f>
        <v>7</v>
      </c>
      <c r="E35" s="15">
        <f>SUMIF(Data!$C$2:$C$251,A35,Data!$H$2:$H$251)</f>
        <v>21</v>
      </c>
      <c r="F35" s="17">
        <f>SUMIF(Data!$C$2:$C$251,A35,Data!$N$2:$N$251)</f>
        <v>6459.79</v>
      </c>
      <c r="G35" s="17">
        <f t="shared" si="0"/>
        <v>922.8271428571428</v>
      </c>
      <c r="H35" s="18">
        <f t="shared" si="1"/>
        <v>2.8185001016830961E-2</v>
      </c>
      <c r="I35" s="15">
        <f>RANK(F35,$F$6:$F$55)+COUNTIF($F$6:F35,F35)-1</f>
        <v>11</v>
      </c>
      <c r="J35" s="15" t="str">
        <f t="shared" si="2"/>
        <v>Regular</v>
      </c>
      <c r="K35" s="22">
        <f>SUMPRODUCT(MAX((Data!$C$2:$C$251=A35)*Data!$B$2:$B$251))</f>
        <v>45723</v>
      </c>
      <c r="L35" s="15">
        <f t="shared" ca="1" si="3"/>
        <v>602</v>
      </c>
      <c r="M35" s="15" t="str">
        <f>IF(COUNTIFS(Data!$C$2:$C$251,$A35,Data!$G$2:$G$251,"Electronics")&gt;0,"Yes","No")</f>
        <v>Yes</v>
      </c>
      <c r="N35" s="15" t="str">
        <f>IF(COUNTIFS(Data!$C$2:$C$251,$A35,Data!$G$2:$G$251,"Furniture")&gt;0,"Yes","No")</f>
        <v>Yes</v>
      </c>
      <c r="O35" s="15" t="str">
        <f>IF(COUNTIFS(Data!$C$2:$C$251,$A35,Data!$G$2:$G$251,"Appliances")&gt;0,"Yes","No")</f>
        <v>Yes</v>
      </c>
      <c r="P35" s="15">
        <f>(COUNTIFS(Data!$C$2:$C$251,A35,Data!$L$2:$L$251,"Basic")&gt;0)+(COUNTIFS(Data!$C$2:$C$251,A35,Data!$L$2:$L$251,"Standard")&gt;0)+(COUNTIFS(Data!$C$2:$C$251,A35,Data!$L$2:$L$251,"Premium")&gt;0)</f>
        <v>2</v>
      </c>
      <c r="Q35" s="1"/>
      <c r="R35" s="1"/>
      <c r="S35" s="1"/>
      <c r="T35" s="1"/>
      <c r="U35" s="1"/>
    </row>
    <row r="36" spans="1:21" x14ac:dyDescent="0.3">
      <c r="A36" s="15" t="s">
        <v>173</v>
      </c>
      <c r="B36" s="15" t="str">
        <f>INDEX(Data!$D$2:$D$251,MATCH(A36,Data!$C$2:$C$251,0))</f>
        <v>Steven Turner</v>
      </c>
      <c r="C36" s="15" t="str">
        <f>INDEX(Data!$S$2:$S$251,MATCH(A36,Data!$C$2:$C$251,0))</f>
        <v>ST-031</v>
      </c>
      <c r="D36" s="15">
        <f>COUNTIF(Data!$C$2:$C$251,A36)</f>
        <v>6</v>
      </c>
      <c r="E36" s="15">
        <f>SUMIF(Data!$C$2:$C$251,A36,Data!$H$2:$H$251)</f>
        <v>17</v>
      </c>
      <c r="F36" s="17">
        <f>SUMIF(Data!$C$2:$C$251,A36,Data!$N$2:$N$251)</f>
        <v>2649.83</v>
      </c>
      <c r="G36" s="17">
        <f t="shared" si="0"/>
        <v>441.63833333333332</v>
      </c>
      <c r="H36" s="18">
        <f t="shared" si="1"/>
        <v>1.1561592752152808E-2</v>
      </c>
      <c r="I36" s="15">
        <f>RANK(F36,$F$6:$F$55)+COUNTIF($F$6:F36,F36)-1</f>
        <v>34</v>
      </c>
      <c r="J36" s="15" t="str">
        <f t="shared" si="2"/>
        <v>Regular</v>
      </c>
      <c r="K36" s="22">
        <f>SUMPRODUCT(MAX((Data!$C$2:$C$251=A36)*Data!$B$2:$B$251))</f>
        <v>45758</v>
      </c>
      <c r="L36" s="15">
        <f t="shared" ca="1" si="3"/>
        <v>567</v>
      </c>
      <c r="M36" s="15" t="str">
        <f>IF(COUNTIFS(Data!$C$2:$C$251,$A36,Data!$G$2:$G$251,"Electronics")&gt;0,"Yes","No")</f>
        <v>Yes</v>
      </c>
      <c r="N36" s="15" t="str">
        <f>IF(COUNTIFS(Data!$C$2:$C$251,$A36,Data!$G$2:$G$251,"Furniture")&gt;0,"Yes","No")</f>
        <v>Yes</v>
      </c>
      <c r="O36" s="15" t="str">
        <f>IF(COUNTIFS(Data!$C$2:$C$251,$A36,Data!$G$2:$G$251,"Appliances")&gt;0,"Yes","No")</f>
        <v>Yes</v>
      </c>
      <c r="P36" s="15">
        <f>(COUNTIFS(Data!$C$2:$C$251,A36,Data!$L$2:$L$251,"Basic")&gt;0)+(COUNTIFS(Data!$C$2:$C$251,A36,Data!$L$2:$L$251,"Standard")&gt;0)+(COUNTIFS(Data!$C$2:$C$251,A36,Data!$L$2:$L$251,"Premium")&gt;0)</f>
        <v>2</v>
      </c>
      <c r="Q36" s="1"/>
      <c r="R36" s="1"/>
      <c r="S36" s="1"/>
      <c r="T36" s="1"/>
      <c r="U36" s="1"/>
    </row>
    <row r="37" spans="1:21" x14ac:dyDescent="0.3">
      <c r="A37" s="15" t="s">
        <v>269</v>
      </c>
      <c r="B37" s="15" t="str">
        <f>INDEX(Data!$D$2:$D$251,MATCH(A37,Data!$C$2:$C$251,0))</f>
        <v>Sandra Phillips</v>
      </c>
      <c r="C37" s="15" t="str">
        <f>INDEX(Data!$S$2:$S$251,MATCH(A37,Data!$C$2:$C$251,0))</f>
        <v>SP-032</v>
      </c>
      <c r="D37" s="15">
        <f>COUNTIF(Data!$C$2:$C$251,A37)</f>
        <v>5</v>
      </c>
      <c r="E37" s="15">
        <f>SUMIF(Data!$C$2:$C$251,A37,Data!$H$2:$H$251)</f>
        <v>17</v>
      </c>
      <c r="F37" s="17">
        <f>SUMIF(Data!$C$2:$C$251,A37,Data!$N$2:$N$251)</f>
        <v>6349.8300000000008</v>
      </c>
      <c r="G37" s="17">
        <f t="shared" si="0"/>
        <v>1269.9660000000001</v>
      </c>
      <c r="H37" s="18">
        <f t="shared" si="1"/>
        <v>2.7705229582804362E-2</v>
      </c>
      <c r="I37" s="15">
        <f>RANK(F37,$F$6:$F$55)+COUNTIF($F$6:F37,F37)-1</f>
        <v>13</v>
      </c>
      <c r="J37" s="15" t="str">
        <f t="shared" si="2"/>
        <v>Regular</v>
      </c>
      <c r="K37" s="22">
        <f>SUMPRODUCT(MAX((Data!$C$2:$C$251=A37)*Data!$B$2:$B$251))</f>
        <v>45671</v>
      </c>
      <c r="L37" s="15">
        <f t="shared" ca="1" si="3"/>
        <v>654</v>
      </c>
      <c r="M37" s="15" t="str">
        <f>IF(COUNTIFS(Data!$C$2:$C$251,$A37,Data!$G$2:$G$251,"Electronics")&gt;0,"Yes","No")</f>
        <v>Yes</v>
      </c>
      <c r="N37" s="15" t="str">
        <f>IF(COUNTIFS(Data!$C$2:$C$251,$A37,Data!$G$2:$G$251,"Furniture")&gt;0,"Yes","No")</f>
        <v>Yes</v>
      </c>
      <c r="O37" s="15" t="str">
        <f>IF(COUNTIFS(Data!$C$2:$C$251,$A37,Data!$G$2:$G$251,"Appliances")&gt;0,"Yes","No")</f>
        <v>No</v>
      </c>
      <c r="P37" s="15">
        <f>(COUNTIFS(Data!$C$2:$C$251,A37,Data!$L$2:$L$251,"Basic")&gt;0)+(COUNTIFS(Data!$C$2:$C$251,A37,Data!$L$2:$L$251,"Standard")&gt;0)+(COUNTIFS(Data!$C$2:$C$251,A37,Data!$L$2:$L$251,"Premium")&gt;0)</f>
        <v>3</v>
      </c>
      <c r="Q37" s="1"/>
      <c r="R37" s="1"/>
      <c r="S37" s="1"/>
      <c r="T37" s="1"/>
      <c r="U37" s="1"/>
    </row>
    <row r="38" spans="1:21" x14ac:dyDescent="0.3">
      <c r="A38" s="15" t="s">
        <v>227</v>
      </c>
      <c r="B38" s="15" t="str">
        <f>INDEX(Data!$D$2:$D$251,MATCH(A38,Data!$C$2:$C$251,0))</f>
        <v>Frank Torres</v>
      </c>
      <c r="C38" s="15" t="str">
        <f>INDEX(Data!$S$2:$S$251,MATCH(A38,Data!$C$2:$C$251,0))</f>
        <v>FT-033</v>
      </c>
      <c r="D38" s="15">
        <f>COUNTIF(Data!$C$2:$C$251,A38)</f>
        <v>5</v>
      </c>
      <c r="E38" s="15">
        <f>SUMIF(Data!$C$2:$C$251,A38,Data!$H$2:$H$251)</f>
        <v>9</v>
      </c>
      <c r="F38" s="17">
        <f>SUMIF(Data!$C$2:$C$251,A38,Data!$N$2:$N$251)</f>
        <v>1479.91</v>
      </c>
      <c r="G38" s="17">
        <f t="shared" ref="G38:G69" si="7">IF(D38=0,0,F38/D38)</f>
        <v>295.98200000000003</v>
      </c>
      <c r="H38" s="18">
        <f t="shared" ref="H38:H55" si="8">F38/SUM($F$6:$F$55)</f>
        <v>6.4570620492025764E-3</v>
      </c>
      <c r="I38" s="15">
        <f>RANK(F38,$F$6:$F$55)+COUNTIF($F$6:F38,F38)-1</f>
        <v>42</v>
      </c>
      <c r="J38" s="15" t="str">
        <f t="shared" ref="J38:J55" si="9">IF(F38&gt;=$G$3,"High-Value","Regular")</f>
        <v>Regular</v>
      </c>
      <c r="K38" s="22">
        <f>SUMPRODUCT(MAX((Data!$C$2:$C$251=A38)*Data!$B$2:$B$251))</f>
        <v>45734</v>
      </c>
      <c r="L38" s="15">
        <f t="shared" ref="L38:L69" ca="1" si="10">TODAY()-K38</f>
        <v>591</v>
      </c>
      <c r="M38" s="15" t="str">
        <f>IF(COUNTIFS(Data!$C$2:$C$251,$A38,Data!$G$2:$G$251,"Electronics")&gt;0,"Yes","No")</f>
        <v>No</v>
      </c>
      <c r="N38" s="15" t="str">
        <f>IF(COUNTIFS(Data!$C$2:$C$251,$A38,Data!$G$2:$G$251,"Furniture")&gt;0,"Yes","No")</f>
        <v>Yes</v>
      </c>
      <c r="O38" s="15" t="str">
        <f>IF(COUNTIFS(Data!$C$2:$C$251,$A38,Data!$G$2:$G$251,"Appliances")&gt;0,"Yes","No")</f>
        <v>Yes</v>
      </c>
      <c r="P38" s="15">
        <f>(COUNTIFS(Data!$C$2:$C$251,A38,Data!$L$2:$L$251,"Basic")&gt;0)+(COUNTIFS(Data!$C$2:$C$251,A38,Data!$L$2:$L$251,"Standard")&gt;0)+(COUNTIFS(Data!$C$2:$C$251,A38,Data!$L$2:$L$251,"Premium")&gt;0)</f>
        <v>3</v>
      </c>
      <c r="Q38" s="1"/>
      <c r="R38" s="1"/>
      <c r="S38" s="1"/>
      <c r="T38" s="1"/>
      <c r="U38" s="1"/>
    </row>
    <row r="39" spans="1:21" x14ac:dyDescent="0.3">
      <c r="A39" s="15" t="s">
        <v>266</v>
      </c>
      <c r="B39" s="15" t="str">
        <f>INDEX(Data!$D$2:$D$251,MATCH(A39,Data!$C$2:$C$251,0))</f>
        <v>Carol Evans</v>
      </c>
      <c r="C39" s="15" t="str">
        <f>INDEX(Data!$S$2:$S$251,MATCH(A39,Data!$C$2:$C$251,0))</f>
        <v>CE-034</v>
      </c>
      <c r="D39" s="15">
        <f>COUNTIF(Data!$C$2:$C$251,A39)</f>
        <v>3</v>
      </c>
      <c r="E39" s="15">
        <f>SUMIF(Data!$C$2:$C$251,A39,Data!$H$2:$H$251)</f>
        <v>7</v>
      </c>
      <c r="F39" s="17">
        <f>SUMIF(Data!$C$2:$C$251,A39,Data!$N$2:$N$251)</f>
        <v>1149.93</v>
      </c>
      <c r="G39" s="17">
        <f t="shared" si="7"/>
        <v>383.31</v>
      </c>
      <c r="H39" s="18">
        <f t="shared" si="8"/>
        <v>5.0173114326138206E-3</v>
      </c>
      <c r="I39" s="15">
        <f>RANK(F39,$F$6:$F$55)+COUNTIF($F$6:F39,F39)-1</f>
        <v>45</v>
      </c>
      <c r="J39" s="15" t="str">
        <f t="shared" si="9"/>
        <v>Regular</v>
      </c>
      <c r="K39" s="22">
        <f>SUMPRODUCT(MAX((Data!$C$2:$C$251=A39)*Data!$B$2:$B$251))</f>
        <v>45573</v>
      </c>
      <c r="L39" s="15">
        <f t="shared" ca="1" si="10"/>
        <v>752</v>
      </c>
      <c r="M39" s="15" t="str">
        <f>IF(COUNTIFS(Data!$C$2:$C$251,$A39,Data!$G$2:$G$251,"Electronics")&gt;0,"Yes","No")</f>
        <v>Yes</v>
      </c>
      <c r="N39" s="15" t="str">
        <f>IF(COUNTIFS(Data!$C$2:$C$251,$A39,Data!$G$2:$G$251,"Furniture")&gt;0,"Yes","No")</f>
        <v>Yes</v>
      </c>
      <c r="O39" s="15" t="str">
        <f>IF(COUNTIFS(Data!$C$2:$C$251,$A39,Data!$G$2:$G$251,"Appliances")&gt;0,"Yes","No")</f>
        <v>No</v>
      </c>
      <c r="P39" s="15">
        <f>(COUNTIFS(Data!$C$2:$C$251,A39,Data!$L$2:$L$251,"Basic")&gt;0)+(COUNTIFS(Data!$C$2:$C$251,A39,Data!$L$2:$L$251,"Standard")&gt;0)+(COUNTIFS(Data!$C$2:$C$251,A39,Data!$L$2:$L$251,"Premium")&gt;0)</f>
        <v>2</v>
      </c>
      <c r="Q39" s="1"/>
      <c r="R39" s="1"/>
      <c r="S39" s="1"/>
      <c r="T39" s="1"/>
      <c r="U39" s="1"/>
    </row>
    <row r="40" spans="1:21" x14ac:dyDescent="0.3">
      <c r="A40" s="15" t="s">
        <v>179</v>
      </c>
      <c r="B40" s="15" t="str">
        <f>INDEX(Data!$D$2:$D$251,MATCH(A40,Data!$C$2:$C$251,0))</f>
        <v>Harry Morgan</v>
      </c>
      <c r="C40" s="15" t="str">
        <f>INDEX(Data!$S$2:$S$251,MATCH(A40,Data!$C$2:$C$251,0))</f>
        <v>HM-035</v>
      </c>
      <c r="D40" s="15">
        <f>COUNTIF(Data!$C$2:$C$251,A40)</f>
        <v>4</v>
      </c>
      <c r="E40" s="15">
        <f>SUMIF(Data!$C$2:$C$251,A40,Data!$H$2:$H$251)</f>
        <v>11</v>
      </c>
      <c r="F40" s="17">
        <f>SUMIF(Data!$C$2:$C$251,A40,Data!$N$2:$N$251)</f>
        <v>5519.8899999999994</v>
      </c>
      <c r="G40" s="17">
        <f t="shared" si="7"/>
        <v>1379.9724999999999</v>
      </c>
      <c r="H40" s="18">
        <f t="shared" si="8"/>
        <v>2.4084080947336529E-2</v>
      </c>
      <c r="I40" s="15">
        <f>RANK(F40,$F$6:$F$55)+COUNTIF($F$6:F40,F40)-1</f>
        <v>18</v>
      </c>
      <c r="J40" s="15" t="str">
        <f t="shared" si="9"/>
        <v>Regular</v>
      </c>
      <c r="K40" s="22">
        <f>SUMPRODUCT(MAX((Data!$C$2:$C$251=A40)*Data!$B$2:$B$251))</f>
        <v>45726</v>
      </c>
      <c r="L40" s="15">
        <f t="shared" ca="1" si="10"/>
        <v>599</v>
      </c>
      <c r="M40" s="15" t="str">
        <f>IF(COUNTIFS(Data!$C$2:$C$251,$A40,Data!$G$2:$G$251,"Electronics")&gt;0,"Yes","No")</f>
        <v>Yes</v>
      </c>
      <c r="N40" s="15" t="str">
        <f>IF(COUNTIFS(Data!$C$2:$C$251,$A40,Data!$G$2:$G$251,"Furniture")&gt;0,"Yes","No")</f>
        <v>No</v>
      </c>
      <c r="O40" s="15" t="str">
        <f>IF(COUNTIFS(Data!$C$2:$C$251,$A40,Data!$G$2:$G$251,"Appliances")&gt;0,"Yes","No")</f>
        <v>No</v>
      </c>
      <c r="P40" s="15">
        <f>(COUNTIFS(Data!$C$2:$C$251,A40,Data!$L$2:$L$251,"Basic")&gt;0)+(COUNTIFS(Data!$C$2:$C$251,A40,Data!$L$2:$L$251,"Standard")&gt;0)+(COUNTIFS(Data!$C$2:$C$251,A40,Data!$L$2:$L$251,"Premium")&gt;0)</f>
        <v>2</v>
      </c>
      <c r="Q40" s="1"/>
      <c r="R40" s="1"/>
      <c r="S40" s="1"/>
      <c r="T40" s="1"/>
      <c r="U40" s="1"/>
    </row>
    <row r="41" spans="1:21" x14ac:dyDescent="0.3">
      <c r="A41" s="15" t="s">
        <v>143</v>
      </c>
      <c r="B41" s="15" t="str">
        <f>INDEX(Data!$D$2:$D$251,MATCH(A41,Data!$C$2:$C$251,0))</f>
        <v>Nancy Collins</v>
      </c>
      <c r="C41" s="15" t="str">
        <f>INDEX(Data!$S$2:$S$251,MATCH(A41,Data!$C$2:$C$251,0))</f>
        <v>NC-036</v>
      </c>
      <c r="D41" s="15">
        <f>COUNTIF(Data!$C$2:$C$251,A41)</f>
        <v>6</v>
      </c>
      <c r="E41" s="15">
        <f>SUMIF(Data!$C$2:$C$251,A41,Data!$H$2:$H$251)</f>
        <v>23</v>
      </c>
      <c r="F41" s="17">
        <f>SUMIF(Data!$C$2:$C$251,A41,Data!$N$2:$N$251)</f>
        <v>4189.7700000000004</v>
      </c>
      <c r="G41" s="17">
        <f t="shared" si="7"/>
        <v>698.29500000000007</v>
      </c>
      <c r="H41" s="18">
        <f t="shared" si="8"/>
        <v>1.8280574401069984E-2</v>
      </c>
      <c r="I41" s="15">
        <f>RANK(F41,$F$6:$F$55)+COUNTIF($F$6:F41,F41)-1</f>
        <v>27</v>
      </c>
      <c r="J41" s="15" t="str">
        <f t="shared" si="9"/>
        <v>Regular</v>
      </c>
      <c r="K41" s="22">
        <f>SUMPRODUCT(MAX((Data!$C$2:$C$251=A41)*Data!$B$2:$B$251))</f>
        <v>45701</v>
      </c>
      <c r="L41" s="15">
        <f t="shared" ca="1" si="10"/>
        <v>624</v>
      </c>
      <c r="M41" s="15" t="str">
        <f>IF(COUNTIFS(Data!$C$2:$C$251,$A41,Data!$G$2:$G$251,"Electronics")&gt;0,"Yes","No")</f>
        <v>Yes</v>
      </c>
      <c r="N41" s="15" t="str">
        <f>IF(COUNTIFS(Data!$C$2:$C$251,$A41,Data!$G$2:$G$251,"Furniture")&gt;0,"Yes","No")</f>
        <v>Yes</v>
      </c>
      <c r="O41" s="15" t="str">
        <f>IF(COUNTIFS(Data!$C$2:$C$251,$A41,Data!$G$2:$G$251,"Appliances")&gt;0,"Yes","No")</f>
        <v>Yes</v>
      </c>
      <c r="P41" s="15">
        <f>(COUNTIFS(Data!$C$2:$C$251,A41,Data!$L$2:$L$251,"Basic")&gt;0)+(COUNTIFS(Data!$C$2:$C$251,A41,Data!$L$2:$L$251,"Standard")&gt;0)+(COUNTIFS(Data!$C$2:$C$251,A41,Data!$L$2:$L$251,"Premium")&gt;0)</f>
        <v>3</v>
      </c>
      <c r="Q41" s="1"/>
      <c r="R41" s="1"/>
      <c r="S41" s="1"/>
      <c r="T41" s="1"/>
      <c r="U41" s="1"/>
    </row>
    <row r="42" spans="1:21" x14ac:dyDescent="0.3">
      <c r="A42" s="15" t="s">
        <v>360</v>
      </c>
      <c r="B42" s="15" t="str">
        <f>INDEX(Data!$D$2:$D$251,MATCH(A42,Data!$C$2:$C$251,0))</f>
        <v>Arthur Edwards</v>
      </c>
      <c r="C42" s="15" t="str">
        <f>INDEX(Data!$S$2:$S$251,MATCH(A42,Data!$C$2:$C$251,0))</f>
        <v>AE-037</v>
      </c>
      <c r="D42" s="15">
        <f>COUNTIF(Data!$C$2:$C$251,A42)</f>
        <v>3</v>
      </c>
      <c r="E42" s="15">
        <f>SUMIF(Data!$C$2:$C$251,A42,Data!$H$2:$H$251)</f>
        <v>6</v>
      </c>
      <c r="F42" s="17">
        <f>SUMIF(Data!$C$2:$C$251,A42,Data!$N$2:$N$251)</f>
        <v>1559.94</v>
      </c>
      <c r="G42" s="17">
        <f t="shared" si="7"/>
        <v>519.98</v>
      </c>
      <c r="H42" s="18">
        <f t="shared" si="8"/>
        <v>6.8062445507044798E-3</v>
      </c>
      <c r="I42" s="15">
        <f>RANK(F42,$F$6:$F$55)+COUNTIF($F$6:F42,F42)-1</f>
        <v>41</v>
      </c>
      <c r="J42" s="15" t="str">
        <f t="shared" si="9"/>
        <v>Regular</v>
      </c>
      <c r="K42" s="22">
        <f>SUMPRODUCT(MAX((Data!$C$2:$C$251=A42)*Data!$B$2:$B$251))</f>
        <v>45711</v>
      </c>
      <c r="L42" s="15">
        <f t="shared" ca="1" si="10"/>
        <v>614</v>
      </c>
      <c r="M42" s="15" t="str">
        <f>IF(COUNTIFS(Data!$C$2:$C$251,$A42,Data!$G$2:$G$251,"Electronics")&gt;0,"Yes","No")</f>
        <v>Yes</v>
      </c>
      <c r="N42" s="15" t="str">
        <f>IF(COUNTIFS(Data!$C$2:$C$251,$A42,Data!$G$2:$G$251,"Furniture")&gt;0,"Yes","No")</f>
        <v>Yes</v>
      </c>
      <c r="O42" s="15" t="str">
        <f>IF(COUNTIFS(Data!$C$2:$C$251,$A42,Data!$G$2:$G$251,"Appliances")&gt;0,"Yes","No")</f>
        <v>Yes</v>
      </c>
      <c r="P42" s="15">
        <f>(COUNTIFS(Data!$C$2:$C$251,A42,Data!$L$2:$L$251,"Basic")&gt;0)+(COUNTIFS(Data!$C$2:$C$251,A42,Data!$L$2:$L$251,"Standard")&gt;0)+(COUNTIFS(Data!$C$2:$C$251,A42,Data!$L$2:$L$251,"Premium")&gt;0)</f>
        <v>2</v>
      </c>
      <c r="Q42" s="1"/>
      <c r="R42" s="1"/>
      <c r="S42" s="1"/>
      <c r="T42" s="1"/>
      <c r="U42" s="1"/>
    </row>
    <row r="43" spans="1:21" x14ac:dyDescent="0.3">
      <c r="A43" s="15" t="s">
        <v>113</v>
      </c>
      <c r="B43" s="15" t="str">
        <f>INDEX(Data!$D$2:$D$251,MATCH(A43,Data!$C$2:$C$251,0))</f>
        <v>Michelle Rogers</v>
      </c>
      <c r="C43" s="15" t="str">
        <f>INDEX(Data!$S$2:$S$251,MATCH(A43,Data!$C$2:$C$251,0))</f>
        <v>MR-038</v>
      </c>
      <c r="D43" s="15">
        <f>COUNTIF(Data!$C$2:$C$251,A43)</f>
        <v>2</v>
      </c>
      <c r="E43" s="15">
        <f>SUMIF(Data!$C$2:$C$251,A43,Data!$H$2:$H$251)</f>
        <v>6</v>
      </c>
      <c r="F43" s="17">
        <f>SUMIF(Data!$C$2:$C$251,A43,Data!$N$2:$N$251)</f>
        <v>4199.9400000000005</v>
      </c>
      <c r="G43" s="17">
        <f t="shared" si="7"/>
        <v>2099.9700000000003</v>
      </c>
      <c r="H43" s="18">
        <f t="shared" si="8"/>
        <v>1.832494758662883E-2</v>
      </c>
      <c r="I43" s="15">
        <f>RANK(F43,$F$6:$F$55)+COUNTIF($F$6:F43,F43)-1</f>
        <v>26</v>
      </c>
      <c r="J43" s="15" t="str">
        <f t="shared" si="9"/>
        <v>Regular</v>
      </c>
      <c r="K43" s="22">
        <f>SUMPRODUCT(MAX((Data!$C$2:$C$251=A43)*Data!$B$2:$B$251))</f>
        <v>45668</v>
      </c>
      <c r="L43" s="15">
        <f t="shared" ca="1" si="10"/>
        <v>657</v>
      </c>
      <c r="M43" s="15" t="str">
        <f>IF(COUNTIFS(Data!$C$2:$C$251,$A43,Data!$G$2:$G$251,"Electronics")&gt;0,"Yes","No")</f>
        <v>Yes</v>
      </c>
      <c r="N43" s="15" t="str">
        <f>IF(COUNTIFS(Data!$C$2:$C$251,$A43,Data!$G$2:$G$251,"Furniture")&gt;0,"Yes","No")</f>
        <v>No</v>
      </c>
      <c r="O43" s="15" t="str">
        <f>IF(COUNTIFS(Data!$C$2:$C$251,$A43,Data!$G$2:$G$251,"Appliances")&gt;0,"Yes","No")</f>
        <v>No</v>
      </c>
      <c r="P43" s="15">
        <f>(COUNTIFS(Data!$C$2:$C$251,A43,Data!$L$2:$L$251,"Basic")&gt;0)+(COUNTIFS(Data!$C$2:$C$251,A43,Data!$L$2:$L$251,"Standard")&gt;0)+(COUNTIFS(Data!$C$2:$C$251,A43,Data!$L$2:$L$251,"Premium")&gt;0)</f>
        <v>2</v>
      </c>
      <c r="Q43" s="1"/>
      <c r="R43" s="1"/>
      <c r="S43" s="1"/>
      <c r="T43" s="1"/>
      <c r="U43" s="1"/>
    </row>
    <row r="44" spans="1:21" x14ac:dyDescent="0.3">
      <c r="A44" s="15" t="s">
        <v>261</v>
      </c>
      <c r="B44" s="15" t="str">
        <f>INDEX(Data!$D$2:$D$251,MATCH(A44,Data!$C$2:$C$251,0))</f>
        <v>Lawrence Reed</v>
      </c>
      <c r="C44" s="15" t="str">
        <f>INDEX(Data!$S$2:$S$251,MATCH(A44,Data!$C$2:$C$251,0))</f>
        <v>LR-039</v>
      </c>
      <c r="D44" s="15">
        <f>COUNTIF(Data!$C$2:$C$251,A44)</f>
        <v>8</v>
      </c>
      <c r="E44" s="15">
        <f>SUMIF(Data!$C$2:$C$251,A44,Data!$H$2:$H$251)</f>
        <v>23</v>
      </c>
      <c r="F44" s="17">
        <f>SUMIF(Data!$C$2:$C$251,A44,Data!$N$2:$N$251)</f>
        <v>6989.7699999999986</v>
      </c>
      <c r="G44" s="17">
        <f t="shared" si="7"/>
        <v>873.72124999999983</v>
      </c>
      <c r="H44" s="18">
        <f t="shared" si="8"/>
        <v>3.0497380651292771E-2</v>
      </c>
      <c r="I44" s="15">
        <f>RANK(F44,$F$6:$F$55)+COUNTIF($F$6:F44,F44)-1</f>
        <v>9</v>
      </c>
      <c r="J44" s="15" t="str">
        <f t="shared" si="9"/>
        <v>High-Value</v>
      </c>
      <c r="K44" s="22">
        <f>SUMPRODUCT(MAX((Data!$C$2:$C$251=A44)*Data!$B$2:$B$251))</f>
        <v>45758</v>
      </c>
      <c r="L44" s="15">
        <f t="shared" ca="1" si="10"/>
        <v>567</v>
      </c>
      <c r="M44" s="15" t="str">
        <f>IF(COUNTIFS(Data!$C$2:$C$251,$A44,Data!$G$2:$G$251,"Electronics")&gt;0,"Yes","No")</f>
        <v>Yes</v>
      </c>
      <c r="N44" s="15" t="str">
        <f>IF(COUNTIFS(Data!$C$2:$C$251,$A44,Data!$G$2:$G$251,"Furniture")&gt;0,"Yes","No")</f>
        <v>Yes</v>
      </c>
      <c r="O44" s="15" t="str">
        <f>IF(COUNTIFS(Data!$C$2:$C$251,$A44,Data!$G$2:$G$251,"Appliances")&gt;0,"Yes","No")</f>
        <v>Yes</v>
      </c>
      <c r="P44" s="15">
        <f>(COUNTIFS(Data!$C$2:$C$251,A44,Data!$L$2:$L$251,"Basic")&gt;0)+(COUNTIFS(Data!$C$2:$C$251,A44,Data!$L$2:$L$251,"Standard")&gt;0)+(COUNTIFS(Data!$C$2:$C$251,A44,Data!$L$2:$L$251,"Premium")&gt;0)</f>
        <v>3</v>
      </c>
      <c r="Q44" s="1"/>
      <c r="R44" s="1"/>
      <c r="S44" s="1"/>
      <c r="T44" s="1"/>
      <c r="U44" s="1"/>
    </row>
    <row r="45" spans="1:21" x14ac:dyDescent="0.3">
      <c r="A45" s="15" t="s">
        <v>186</v>
      </c>
      <c r="B45" s="15" t="str">
        <f>INDEX(Data!$D$2:$D$251,MATCH(A45,Data!$C$2:$C$251,0))</f>
        <v>Sharon Butler</v>
      </c>
      <c r="C45" s="15" t="str">
        <f>INDEX(Data!$S$2:$S$251,MATCH(A45,Data!$C$2:$C$251,0))</f>
        <v>SB-040</v>
      </c>
      <c r="D45" s="15">
        <f>COUNTIF(Data!$C$2:$C$251,A45)</f>
        <v>6</v>
      </c>
      <c r="E45" s="15">
        <f>SUMIF(Data!$C$2:$C$251,A45,Data!$H$2:$H$251)</f>
        <v>13</v>
      </c>
      <c r="F45" s="17">
        <f>SUMIF(Data!$C$2:$C$251,A45,Data!$N$2:$N$251)</f>
        <v>5619.87</v>
      </c>
      <c r="G45" s="17">
        <f t="shared" si="7"/>
        <v>936.64499999999998</v>
      </c>
      <c r="H45" s="18">
        <f t="shared" si="8"/>
        <v>2.4520308193371275E-2</v>
      </c>
      <c r="I45" s="15">
        <f>RANK(F45,$F$6:$F$55)+COUNTIF($F$6:F45,F45)-1</f>
        <v>17</v>
      </c>
      <c r="J45" s="15" t="str">
        <f t="shared" si="9"/>
        <v>Regular</v>
      </c>
      <c r="K45" s="22">
        <f>SUMPRODUCT(MAX((Data!$C$2:$C$251=A45)*Data!$B$2:$B$251))</f>
        <v>45737</v>
      </c>
      <c r="L45" s="15">
        <f t="shared" ca="1" si="10"/>
        <v>588</v>
      </c>
      <c r="M45" s="15" t="str">
        <f>IF(COUNTIFS(Data!$C$2:$C$251,$A45,Data!$G$2:$G$251,"Electronics")&gt;0,"Yes","No")</f>
        <v>Yes</v>
      </c>
      <c r="N45" s="15" t="str">
        <f>IF(COUNTIFS(Data!$C$2:$C$251,$A45,Data!$G$2:$G$251,"Furniture")&gt;0,"Yes","No")</f>
        <v>No</v>
      </c>
      <c r="O45" s="15" t="str">
        <f>IF(COUNTIFS(Data!$C$2:$C$251,$A45,Data!$G$2:$G$251,"Appliances")&gt;0,"Yes","No")</f>
        <v>Yes</v>
      </c>
      <c r="P45" s="15">
        <f>(COUNTIFS(Data!$C$2:$C$251,A45,Data!$L$2:$L$251,"Basic")&gt;0)+(COUNTIFS(Data!$C$2:$C$251,A45,Data!$L$2:$L$251,"Standard")&gt;0)+(COUNTIFS(Data!$C$2:$C$251,A45,Data!$L$2:$L$251,"Premium")&gt;0)</f>
        <v>3</v>
      </c>
      <c r="Q45" s="1"/>
      <c r="R45" s="1"/>
      <c r="S45" s="1"/>
      <c r="T45" s="1"/>
      <c r="U45" s="1"/>
    </row>
    <row r="46" spans="1:21" x14ac:dyDescent="0.3">
      <c r="A46" s="15" t="s">
        <v>107</v>
      </c>
      <c r="B46" s="15" t="str">
        <f>INDEX(Data!$D$2:$D$251,MATCH(A46,Data!$C$2:$C$251,0))</f>
        <v>Peter Richardson</v>
      </c>
      <c r="C46" s="15" t="str">
        <f>INDEX(Data!$S$2:$S$251,MATCH(A46,Data!$C$2:$C$251,0))</f>
        <v>PR-041</v>
      </c>
      <c r="D46" s="15">
        <f>COUNTIF(Data!$C$2:$C$251,A46)</f>
        <v>5</v>
      </c>
      <c r="E46" s="15">
        <f>SUMIF(Data!$C$2:$C$251,A46,Data!$H$2:$H$251)</f>
        <v>15</v>
      </c>
      <c r="F46" s="17">
        <f>SUMIF(Data!$C$2:$C$251,A46,Data!$N$2:$N$251)</f>
        <v>5949.85</v>
      </c>
      <c r="G46" s="17">
        <f t="shared" si="7"/>
        <v>1189.97</v>
      </c>
      <c r="H46" s="18">
        <f t="shared" si="8"/>
        <v>2.5960058809960031E-2</v>
      </c>
      <c r="I46" s="15">
        <f>RANK(F46,$F$6:$F$55)+COUNTIF($F$6:F46,F46)-1</f>
        <v>15</v>
      </c>
      <c r="J46" s="15" t="str">
        <f t="shared" si="9"/>
        <v>Regular</v>
      </c>
      <c r="K46" s="22">
        <f>SUMPRODUCT(MAX((Data!$C$2:$C$251=A46)*Data!$B$2:$B$251))</f>
        <v>45638</v>
      </c>
      <c r="L46" s="15">
        <f t="shared" ca="1" si="10"/>
        <v>687</v>
      </c>
      <c r="M46" s="15" t="str">
        <f>IF(COUNTIFS(Data!$C$2:$C$251,$A46,Data!$G$2:$G$251,"Electronics")&gt;0,"Yes","No")</f>
        <v>Yes</v>
      </c>
      <c r="N46" s="15" t="str">
        <f>IF(COUNTIFS(Data!$C$2:$C$251,$A46,Data!$G$2:$G$251,"Furniture")&gt;0,"Yes","No")</f>
        <v>Yes</v>
      </c>
      <c r="O46" s="15" t="str">
        <f>IF(COUNTIFS(Data!$C$2:$C$251,$A46,Data!$G$2:$G$251,"Appliances")&gt;0,"Yes","No")</f>
        <v>No</v>
      </c>
      <c r="P46" s="15">
        <f>(COUNTIFS(Data!$C$2:$C$251,A46,Data!$L$2:$L$251,"Basic")&gt;0)+(COUNTIFS(Data!$C$2:$C$251,A46,Data!$L$2:$L$251,"Standard")&gt;0)+(COUNTIFS(Data!$C$2:$C$251,A46,Data!$L$2:$L$251,"Premium")&gt;0)</f>
        <v>2</v>
      </c>
      <c r="Q46" s="1"/>
      <c r="R46" s="1"/>
      <c r="S46" s="1"/>
      <c r="T46" s="1"/>
      <c r="U46" s="1"/>
    </row>
    <row r="47" spans="1:21" x14ac:dyDescent="0.3">
      <c r="A47" s="15" t="s">
        <v>281</v>
      </c>
      <c r="B47" s="15" t="str">
        <f>INDEX(Data!$D$2:$D$251,MATCH(A47,Data!$C$2:$C$251,0))</f>
        <v>Ruth Brooks</v>
      </c>
      <c r="C47" s="15" t="str">
        <f>INDEX(Data!$S$2:$S$251,MATCH(A47,Data!$C$2:$C$251,0))</f>
        <v>RB-042</v>
      </c>
      <c r="D47" s="15">
        <f>COUNTIF(Data!$C$2:$C$251,A47)</f>
        <v>3</v>
      </c>
      <c r="E47" s="15">
        <f>SUMIF(Data!$C$2:$C$251,A47,Data!$H$2:$H$251)</f>
        <v>8</v>
      </c>
      <c r="F47" s="17">
        <f>SUMIF(Data!$C$2:$C$251,A47,Data!$N$2:$N$251)</f>
        <v>1749.92</v>
      </c>
      <c r="G47" s="17">
        <f t="shared" si="7"/>
        <v>583.30666666666673</v>
      </c>
      <c r="H47" s="18">
        <f t="shared" si="8"/>
        <v>7.6351548547820966E-3</v>
      </c>
      <c r="I47" s="15">
        <f>RANK(F47,$F$6:$F$55)+COUNTIF($F$6:F47,F47)-1</f>
        <v>40</v>
      </c>
      <c r="J47" s="15" t="str">
        <f t="shared" si="9"/>
        <v>Regular</v>
      </c>
      <c r="K47" s="22">
        <f>SUMPRODUCT(MAX((Data!$C$2:$C$251=A47)*Data!$B$2:$B$251))</f>
        <v>45711</v>
      </c>
      <c r="L47" s="15">
        <f t="shared" ca="1" si="10"/>
        <v>614</v>
      </c>
      <c r="M47" s="15" t="str">
        <f>IF(COUNTIFS(Data!$C$2:$C$251,$A47,Data!$G$2:$G$251,"Electronics")&gt;0,"Yes","No")</f>
        <v>Yes</v>
      </c>
      <c r="N47" s="15" t="str">
        <f>IF(COUNTIFS(Data!$C$2:$C$251,$A47,Data!$G$2:$G$251,"Furniture")&gt;0,"Yes","No")</f>
        <v>Yes</v>
      </c>
      <c r="O47" s="15" t="str">
        <f>IF(COUNTIFS(Data!$C$2:$C$251,$A47,Data!$G$2:$G$251,"Appliances")&gt;0,"Yes","No")</f>
        <v>No</v>
      </c>
      <c r="P47" s="15">
        <f>(COUNTIFS(Data!$C$2:$C$251,A47,Data!$L$2:$L$251,"Basic")&gt;0)+(COUNTIFS(Data!$C$2:$C$251,A47,Data!$L$2:$L$251,"Standard")&gt;0)+(COUNTIFS(Data!$C$2:$C$251,A47,Data!$L$2:$L$251,"Premium")&gt;0)</f>
        <v>2</v>
      </c>
      <c r="Q47" s="1"/>
      <c r="R47" s="1"/>
      <c r="S47" s="1"/>
      <c r="T47" s="1"/>
      <c r="U47" s="1"/>
    </row>
    <row r="48" spans="1:21" x14ac:dyDescent="0.3">
      <c r="A48" s="15" t="s">
        <v>110</v>
      </c>
      <c r="B48" s="15" t="str">
        <f>INDEX(Data!$D$2:$D$251,MATCH(A48,Data!$C$2:$C$251,0))</f>
        <v>Dennis Gray</v>
      </c>
      <c r="C48" s="15" t="str">
        <f>INDEX(Data!$S$2:$S$251,MATCH(A48,Data!$C$2:$C$251,0))</f>
        <v>DG-043</v>
      </c>
      <c r="D48" s="15">
        <f>COUNTIF(Data!$C$2:$C$251,A48)</f>
        <v>2</v>
      </c>
      <c r="E48" s="15">
        <f>SUMIF(Data!$C$2:$C$251,A48,Data!$H$2:$H$251)</f>
        <v>8</v>
      </c>
      <c r="F48" s="17">
        <f>SUMIF(Data!$C$2:$C$251,A48,Data!$N$2:$N$251)</f>
        <v>479.91999999999996</v>
      </c>
      <c r="G48" s="17">
        <f t="shared" si="7"/>
        <v>239.95999999999998</v>
      </c>
      <c r="H48" s="18">
        <f t="shared" si="8"/>
        <v>2.0939605912881866E-3</v>
      </c>
      <c r="I48" s="15">
        <f>RANK(F48,$F$6:$F$55)+COUNTIF($F$6:F48,F48)-1</f>
        <v>48</v>
      </c>
      <c r="J48" s="15" t="str">
        <f t="shared" si="9"/>
        <v>Regular</v>
      </c>
      <c r="K48" s="22">
        <f>SUMPRODUCT(MAX((Data!$C$2:$C$251=A48)*Data!$B$2:$B$251))</f>
        <v>45721</v>
      </c>
      <c r="L48" s="15">
        <f t="shared" ca="1" si="10"/>
        <v>604</v>
      </c>
      <c r="M48" s="15" t="str">
        <f>IF(COUNTIFS(Data!$C$2:$C$251,$A48,Data!$G$2:$G$251,"Electronics")&gt;0,"Yes","No")</f>
        <v>No</v>
      </c>
      <c r="N48" s="15" t="str">
        <f>IF(COUNTIFS(Data!$C$2:$C$251,$A48,Data!$G$2:$G$251,"Furniture")&gt;0,"Yes","No")</f>
        <v>No</v>
      </c>
      <c r="O48" s="15" t="str">
        <f>IF(COUNTIFS(Data!$C$2:$C$251,$A48,Data!$G$2:$G$251,"Appliances")&gt;0,"Yes","No")</f>
        <v>Yes</v>
      </c>
      <c r="P48" s="15">
        <f>(COUNTIFS(Data!$C$2:$C$251,A48,Data!$L$2:$L$251,"Basic")&gt;0)+(COUNTIFS(Data!$C$2:$C$251,A48,Data!$L$2:$L$251,"Standard")&gt;0)+(COUNTIFS(Data!$C$2:$C$251,A48,Data!$L$2:$L$251,"Premium")&gt;0)</f>
        <v>2</v>
      </c>
      <c r="Q48" s="1"/>
      <c r="R48" s="1"/>
      <c r="S48" s="1"/>
      <c r="T48" s="1"/>
      <c r="U48" s="1"/>
    </row>
    <row r="49" spans="1:21" x14ac:dyDescent="0.3">
      <c r="A49" s="15" t="s">
        <v>137</v>
      </c>
      <c r="B49" s="15" t="str">
        <f>INDEX(Data!$D$2:$D$251,MATCH(A49,Data!$C$2:$C$251,0))</f>
        <v>Cynthia Price</v>
      </c>
      <c r="C49" s="15" t="str">
        <f>INDEX(Data!$S$2:$S$251,MATCH(A49,Data!$C$2:$C$251,0))</f>
        <v>CP-044</v>
      </c>
      <c r="D49" s="15">
        <f>COUNTIF(Data!$C$2:$C$251,A49)</f>
        <v>5</v>
      </c>
      <c r="E49" s="15">
        <f>SUMIF(Data!$C$2:$C$251,A49,Data!$H$2:$H$251)</f>
        <v>17</v>
      </c>
      <c r="F49" s="17">
        <f>SUMIF(Data!$C$2:$C$251,A49,Data!$N$2:$N$251)</f>
        <v>3769.8300000000004</v>
      </c>
      <c r="G49" s="17">
        <f t="shared" si="7"/>
        <v>753.96600000000012</v>
      </c>
      <c r="H49" s="18">
        <f t="shared" si="8"/>
        <v>1.6448315252241927E-2</v>
      </c>
      <c r="I49" s="15">
        <f>RANK(F49,$F$6:$F$55)+COUNTIF($F$6:F49,F49)-1</f>
        <v>29</v>
      </c>
      <c r="J49" s="15" t="str">
        <f t="shared" si="9"/>
        <v>Regular</v>
      </c>
      <c r="K49" s="22">
        <f>SUMPRODUCT(MAX((Data!$C$2:$C$251=A49)*Data!$B$2:$B$251))</f>
        <v>45748</v>
      </c>
      <c r="L49" s="15">
        <f t="shared" ca="1" si="10"/>
        <v>577</v>
      </c>
      <c r="M49" s="15" t="str">
        <f>IF(COUNTIFS(Data!$C$2:$C$251,$A49,Data!$G$2:$G$251,"Electronics")&gt;0,"Yes","No")</f>
        <v>Yes</v>
      </c>
      <c r="N49" s="15" t="str">
        <f>IF(COUNTIFS(Data!$C$2:$C$251,$A49,Data!$G$2:$G$251,"Furniture")&gt;0,"Yes","No")</f>
        <v>Yes</v>
      </c>
      <c r="O49" s="15" t="str">
        <f>IF(COUNTIFS(Data!$C$2:$C$251,$A49,Data!$G$2:$G$251,"Appliances")&gt;0,"Yes","No")</f>
        <v>Yes</v>
      </c>
      <c r="P49" s="15">
        <f>(COUNTIFS(Data!$C$2:$C$251,A49,Data!$L$2:$L$251,"Basic")&gt;0)+(COUNTIFS(Data!$C$2:$C$251,A49,Data!$L$2:$L$251,"Standard")&gt;0)+(COUNTIFS(Data!$C$2:$C$251,A49,Data!$L$2:$L$251,"Premium")&gt;0)</f>
        <v>2</v>
      </c>
      <c r="Q49" s="1"/>
      <c r="R49" s="1"/>
      <c r="S49" s="1"/>
      <c r="T49" s="1"/>
      <c r="U49" s="1"/>
    </row>
    <row r="50" spans="1:21" x14ac:dyDescent="0.3">
      <c r="A50" s="15" t="s">
        <v>328</v>
      </c>
      <c r="B50" s="15" t="str">
        <f>INDEX(Data!$D$2:$D$251,MATCH(A50,Data!$C$2:$C$251,0))</f>
        <v>Douglas Watson</v>
      </c>
      <c r="C50" s="15" t="str">
        <f>INDEX(Data!$S$2:$S$251,MATCH(A50,Data!$C$2:$C$251,0))</f>
        <v>DW-045</v>
      </c>
      <c r="D50" s="15">
        <f>COUNTIF(Data!$C$2:$C$251,A50)</f>
        <v>4</v>
      </c>
      <c r="E50" s="15">
        <f>SUMIF(Data!$C$2:$C$251,A50,Data!$H$2:$H$251)</f>
        <v>11</v>
      </c>
      <c r="F50" s="17">
        <f>SUMIF(Data!$C$2:$C$251,A50,Data!$N$2:$N$251)</f>
        <v>4829.8900000000003</v>
      </c>
      <c r="G50" s="17">
        <f t="shared" si="7"/>
        <v>1207.4725000000001</v>
      </c>
      <c r="H50" s="18">
        <f t="shared" si="8"/>
        <v>2.1073510835674488E-2</v>
      </c>
      <c r="I50" s="15">
        <f>RANK(F50,$F$6:$F$55)+COUNTIF($F$6:F50,F50)-1</f>
        <v>21</v>
      </c>
      <c r="J50" s="15" t="str">
        <f t="shared" si="9"/>
        <v>Regular</v>
      </c>
      <c r="K50" s="22">
        <f>SUMPRODUCT(MAX((Data!$C$2:$C$251=A50)*Data!$B$2:$B$251))</f>
        <v>45758</v>
      </c>
      <c r="L50" s="15">
        <f t="shared" ca="1" si="10"/>
        <v>567</v>
      </c>
      <c r="M50" s="15" t="str">
        <f>IF(COUNTIFS(Data!$C$2:$C$251,$A50,Data!$G$2:$G$251,"Electronics")&gt;0,"Yes","No")</f>
        <v>Yes</v>
      </c>
      <c r="N50" s="15" t="str">
        <f>IF(COUNTIFS(Data!$C$2:$C$251,$A50,Data!$G$2:$G$251,"Furniture")&gt;0,"Yes","No")</f>
        <v>No</v>
      </c>
      <c r="O50" s="15" t="str">
        <f>IF(COUNTIFS(Data!$C$2:$C$251,$A50,Data!$G$2:$G$251,"Appliances")&gt;0,"Yes","No")</f>
        <v>Yes</v>
      </c>
      <c r="P50" s="15">
        <f>(COUNTIFS(Data!$C$2:$C$251,A50,Data!$L$2:$L$251,"Basic")&gt;0)+(COUNTIFS(Data!$C$2:$C$251,A50,Data!$L$2:$L$251,"Standard")&gt;0)+(COUNTIFS(Data!$C$2:$C$251,A50,Data!$L$2:$L$251,"Premium")&gt;0)</f>
        <v>2</v>
      </c>
      <c r="Q50" s="1"/>
      <c r="R50" s="1"/>
      <c r="S50" s="1"/>
      <c r="T50" s="1"/>
      <c r="U50" s="1"/>
    </row>
    <row r="51" spans="1:21" x14ac:dyDescent="0.3">
      <c r="A51" s="15" t="s">
        <v>73</v>
      </c>
      <c r="B51" s="15" t="str">
        <f>INDEX(Data!$D$2:$D$251,MATCH(A51,Data!$C$2:$C$251,0))</f>
        <v>Kathleen Bennett</v>
      </c>
      <c r="C51" s="15" t="str">
        <f>INDEX(Data!$S$2:$S$251,MATCH(A51,Data!$C$2:$C$251,0))</f>
        <v>KB-046</v>
      </c>
      <c r="D51" s="15">
        <f>COUNTIF(Data!$C$2:$C$251,A51)</f>
        <v>6</v>
      </c>
      <c r="E51" s="15">
        <f>SUMIF(Data!$C$2:$C$251,A51,Data!$H$2:$H$251)</f>
        <v>19</v>
      </c>
      <c r="F51" s="17">
        <f>SUMIF(Data!$C$2:$C$251,A51,Data!$N$2:$N$251)</f>
        <v>4309.8100000000004</v>
      </c>
      <c r="G51" s="17">
        <f t="shared" si="7"/>
        <v>718.30166666666673</v>
      </c>
      <c r="H51" s="18">
        <f t="shared" si="8"/>
        <v>1.8804326337597394E-2</v>
      </c>
      <c r="I51" s="15">
        <f>RANK(F51,$F$6:$F$55)+COUNTIF($F$6:F51,F51)-1</f>
        <v>25</v>
      </c>
      <c r="J51" s="15" t="str">
        <f t="shared" si="9"/>
        <v>Regular</v>
      </c>
      <c r="K51" s="22">
        <f>SUMPRODUCT(MAX((Data!$C$2:$C$251=A51)*Data!$B$2:$B$251))</f>
        <v>45588</v>
      </c>
      <c r="L51" s="15">
        <f t="shared" ca="1" si="10"/>
        <v>737</v>
      </c>
      <c r="M51" s="15" t="str">
        <f>IF(COUNTIFS(Data!$C$2:$C$251,$A51,Data!$G$2:$G$251,"Electronics")&gt;0,"Yes","No")</f>
        <v>Yes</v>
      </c>
      <c r="N51" s="15" t="str">
        <f>IF(COUNTIFS(Data!$C$2:$C$251,$A51,Data!$G$2:$G$251,"Furniture")&gt;0,"Yes","No")</f>
        <v>Yes</v>
      </c>
      <c r="O51" s="15" t="str">
        <f>IF(COUNTIFS(Data!$C$2:$C$251,$A51,Data!$G$2:$G$251,"Appliances")&gt;0,"Yes","No")</f>
        <v>Yes</v>
      </c>
      <c r="P51" s="15">
        <f>(COUNTIFS(Data!$C$2:$C$251,A51,Data!$L$2:$L$251,"Basic")&gt;0)+(COUNTIFS(Data!$C$2:$C$251,A51,Data!$L$2:$L$251,"Standard")&gt;0)+(COUNTIFS(Data!$C$2:$C$251,A51,Data!$L$2:$L$251,"Premium")&gt;0)</f>
        <v>3</v>
      </c>
      <c r="Q51" s="1"/>
      <c r="R51" s="1"/>
      <c r="S51" s="1"/>
      <c r="T51" s="1"/>
      <c r="U51" s="1"/>
    </row>
    <row r="52" spans="1:21" x14ac:dyDescent="0.3">
      <c r="A52" s="15" t="s">
        <v>231</v>
      </c>
      <c r="B52" s="15" t="str">
        <f>INDEX(Data!$D$2:$D$251,MATCH(A52,Data!$C$2:$C$251,0))</f>
        <v>Gerald Murphy</v>
      </c>
      <c r="C52" s="15" t="str">
        <f>INDEX(Data!$S$2:$S$251,MATCH(A52,Data!$C$2:$C$251,0))</f>
        <v>GM-047</v>
      </c>
      <c r="D52" s="15">
        <f>COUNTIF(Data!$C$2:$C$251,A52)</f>
        <v>4</v>
      </c>
      <c r="E52" s="15">
        <f>SUMIF(Data!$C$2:$C$251,A52,Data!$H$2:$H$251)</f>
        <v>13</v>
      </c>
      <c r="F52" s="17">
        <f>SUMIF(Data!$C$2:$C$251,A52,Data!$N$2:$N$251)</f>
        <v>6379.87</v>
      </c>
      <c r="G52" s="17">
        <f t="shared" si="7"/>
        <v>1594.9675</v>
      </c>
      <c r="H52" s="18">
        <f t="shared" si="8"/>
        <v>2.7836298461288888E-2</v>
      </c>
      <c r="I52" s="15">
        <f>RANK(F52,$F$6:$F$55)+COUNTIF($F$6:F52,F52)-1</f>
        <v>12</v>
      </c>
      <c r="J52" s="15" t="str">
        <f t="shared" si="9"/>
        <v>Regular</v>
      </c>
      <c r="K52" s="22">
        <f>SUMPRODUCT(MAX((Data!$C$2:$C$251=A52)*Data!$B$2:$B$251))</f>
        <v>45532</v>
      </c>
      <c r="L52" s="15">
        <f t="shared" ca="1" si="10"/>
        <v>793</v>
      </c>
      <c r="M52" s="15" t="str">
        <f>IF(COUNTIFS(Data!$C$2:$C$251,$A52,Data!$G$2:$G$251,"Electronics")&gt;0,"Yes","No")</f>
        <v>Yes</v>
      </c>
      <c r="N52" s="15" t="str">
        <f>IF(COUNTIFS(Data!$C$2:$C$251,$A52,Data!$G$2:$G$251,"Furniture")&gt;0,"Yes","No")</f>
        <v>No</v>
      </c>
      <c r="O52" s="15" t="str">
        <f>IF(COUNTIFS(Data!$C$2:$C$251,$A52,Data!$G$2:$G$251,"Appliances")&gt;0,"Yes","No")</f>
        <v>Yes</v>
      </c>
      <c r="P52" s="15">
        <f>(COUNTIFS(Data!$C$2:$C$251,A52,Data!$L$2:$L$251,"Basic")&gt;0)+(COUNTIFS(Data!$C$2:$C$251,A52,Data!$L$2:$L$251,"Standard")&gt;0)+(COUNTIFS(Data!$C$2:$C$251,A52,Data!$L$2:$L$251,"Premium")&gt;0)</f>
        <v>3</v>
      </c>
      <c r="Q52" s="1"/>
      <c r="R52" s="1"/>
      <c r="S52" s="1"/>
      <c r="T52" s="1"/>
      <c r="U52" s="1"/>
    </row>
    <row r="53" spans="1:21" x14ac:dyDescent="0.3">
      <c r="A53" s="15" t="s">
        <v>128</v>
      </c>
      <c r="B53" s="15" t="str">
        <f>INDEX(Data!$D$2:$D$251,MATCH(A53,Data!$C$2:$C$251,0))</f>
        <v>Virginia Sanders</v>
      </c>
      <c r="C53" s="15" t="str">
        <f>INDEX(Data!$S$2:$S$251,MATCH(A53,Data!$C$2:$C$251,0))</f>
        <v>VS-048</v>
      </c>
      <c r="D53" s="15">
        <f>COUNTIF(Data!$C$2:$C$251,A53)</f>
        <v>6</v>
      </c>
      <c r="E53" s="15">
        <f>SUMIF(Data!$C$2:$C$251,A53,Data!$H$2:$H$251)</f>
        <v>21</v>
      </c>
      <c r="F53" s="17">
        <f>SUMIF(Data!$C$2:$C$251,A53,Data!$N$2:$N$251)</f>
        <v>4789.7900000000009</v>
      </c>
      <c r="G53" s="17">
        <f t="shared" si="7"/>
        <v>798.29833333333352</v>
      </c>
      <c r="H53" s="18">
        <f t="shared" si="8"/>
        <v>2.0898548717590944E-2</v>
      </c>
      <c r="I53" s="15">
        <f>RANK(F53,$F$6:$F$55)+COUNTIF($F$6:F53,F53)-1</f>
        <v>22</v>
      </c>
      <c r="J53" s="15" t="str">
        <f t="shared" si="9"/>
        <v>Regular</v>
      </c>
      <c r="K53" s="22">
        <f>SUMPRODUCT(MAX((Data!$C$2:$C$251=A53)*Data!$B$2:$B$251))</f>
        <v>45755</v>
      </c>
      <c r="L53" s="15">
        <f t="shared" ca="1" si="10"/>
        <v>570</v>
      </c>
      <c r="M53" s="15" t="str">
        <f>IF(COUNTIFS(Data!$C$2:$C$251,$A53,Data!$G$2:$G$251,"Electronics")&gt;0,"Yes","No")</f>
        <v>Yes</v>
      </c>
      <c r="N53" s="15" t="str">
        <f>IF(COUNTIFS(Data!$C$2:$C$251,$A53,Data!$G$2:$G$251,"Furniture")&gt;0,"Yes","No")</f>
        <v>Yes</v>
      </c>
      <c r="O53" s="15" t="str">
        <f>IF(COUNTIFS(Data!$C$2:$C$251,$A53,Data!$G$2:$G$251,"Appliances")&gt;0,"Yes","No")</f>
        <v>Yes</v>
      </c>
      <c r="P53" s="15">
        <f>(COUNTIFS(Data!$C$2:$C$251,A53,Data!$L$2:$L$251,"Basic")&gt;0)+(COUNTIFS(Data!$C$2:$C$251,A53,Data!$L$2:$L$251,"Standard")&gt;0)+(COUNTIFS(Data!$C$2:$C$251,A53,Data!$L$2:$L$251,"Premium")&gt;0)</f>
        <v>3</v>
      </c>
      <c r="Q53" s="1"/>
      <c r="R53" s="1"/>
      <c r="S53" s="1"/>
      <c r="T53" s="1"/>
      <c r="U53" s="1"/>
    </row>
    <row r="54" spans="1:21" x14ac:dyDescent="0.3">
      <c r="A54" s="15" t="s">
        <v>206</v>
      </c>
      <c r="B54" s="15" t="str">
        <f>INDEX(Data!$D$2:$D$251,MATCH(A54,Data!$C$2:$C$251,0))</f>
        <v>Raymond Ross</v>
      </c>
      <c r="C54" s="15" t="str">
        <f>INDEX(Data!$S$2:$S$251,MATCH(A54,Data!$C$2:$C$251,0))</f>
        <v>RR-049</v>
      </c>
      <c r="D54" s="15">
        <f>COUNTIF(Data!$C$2:$C$251,A54)</f>
        <v>4</v>
      </c>
      <c r="E54" s="15">
        <f>SUMIF(Data!$C$2:$C$251,A54,Data!$H$2:$H$251)</f>
        <v>15</v>
      </c>
      <c r="F54" s="17">
        <f>SUMIF(Data!$C$2:$C$251,A54,Data!$N$2:$N$251)</f>
        <v>3669.85</v>
      </c>
      <c r="G54" s="17">
        <f t="shared" si="7"/>
        <v>917.46249999999998</v>
      </c>
      <c r="H54" s="18">
        <f t="shared" si="8"/>
        <v>1.6012088006207185E-2</v>
      </c>
      <c r="I54" s="15">
        <f>RANK(F54,$F$6:$F$55)+COUNTIF($F$6:F54,F54)-1</f>
        <v>30</v>
      </c>
      <c r="J54" s="15" t="str">
        <f t="shared" si="9"/>
        <v>Regular</v>
      </c>
      <c r="K54" s="22">
        <f>SUMPRODUCT(MAX((Data!$C$2:$C$251=A54)*Data!$B$2:$B$251))</f>
        <v>45592</v>
      </c>
      <c r="L54" s="15">
        <f t="shared" ca="1" si="10"/>
        <v>733</v>
      </c>
      <c r="M54" s="15" t="str">
        <f>IF(COUNTIFS(Data!$C$2:$C$251,$A54,Data!$G$2:$G$251,"Electronics")&gt;0,"Yes","No")</f>
        <v>Yes</v>
      </c>
      <c r="N54" s="15" t="str">
        <f>IF(COUNTIFS(Data!$C$2:$C$251,$A54,Data!$G$2:$G$251,"Furniture")&gt;0,"Yes","No")</f>
        <v>No</v>
      </c>
      <c r="O54" s="15" t="str">
        <f>IF(COUNTIFS(Data!$C$2:$C$251,$A54,Data!$G$2:$G$251,"Appliances")&gt;0,"Yes","No")</f>
        <v>Yes</v>
      </c>
      <c r="P54" s="15">
        <f>(COUNTIFS(Data!$C$2:$C$251,A54,Data!$L$2:$L$251,"Basic")&gt;0)+(COUNTIFS(Data!$C$2:$C$251,A54,Data!$L$2:$L$251,"Standard")&gt;0)+(COUNTIFS(Data!$C$2:$C$251,A54,Data!$L$2:$L$251,"Premium")&gt;0)</f>
        <v>2</v>
      </c>
      <c r="Q54" s="1"/>
      <c r="R54" s="1"/>
      <c r="S54" s="1"/>
      <c r="T54" s="1"/>
      <c r="U54" s="1"/>
    </row>
    <row r="55" spans="1:21" x14ac:dyDescent="0.3">
      <c r="A55" s="15" t="s">
        <v>197</v>
      </c>
      <c r="B55" s="15" t="str">
        <f>INDEX(Data!$D$2:$D$251,MATCH(A55,Data!$C$2:$C$251,0))</f>
        <v>Julie Foster</v>
      </c>
      <c r="C55" s="15" t="str">
        <f>INDEX(Data!$S$2:$S$251,MATCH(A55,Data!$C$2:$C$251,0))</f>
        <v>JF-050</v>
      </c>
      <c r="D55" s="15">
        <f>COUNTIF(Data!$C$2:$C$251,A55)</f>
        <v>1</v>
      </c>
      <c r="E55" s="15">
        <f>SUMIF(Data!$C$2:$C$251,A55,Data!$H$2:$H$251)</f>
        <v>4</v>
      </c>
      <c r="F55" s="17">
        <f>SUMIF(Data!$C$2:$C$251,A55,Data!$N$2:$N$251)</f>
        <v>239.96</v>
      </c>
      <c r="G55" s="17">
        <f t="shared" si="7"/>
        <v>239.96</v>
      </c>
      <c r="H55" s="18">
        <f t="shared" si="8"/>
        <v>1.0469802956440935E-3</v>
      </c>
      <c r="I55" s="15">
        <f>RANK(F55,$F$6:$F$55)+COUNTIF($F$6:F55,F55)-1</f>
        <v>49</v>
      </c>
      <c r="J55" s="15" t="str">
        <f t="shared" si="9"/>
        <v>Regular</v>
      </c>
      <c r="K55" s="22">
        <f>SUMPRODUCT(MAX((Data!$C$2:$C$251=A55)*Data!$B$2:$B$251))</f>
        <v>45452</v>
      </c>
      <c r="L55" s="15">
        <f t="shared" ca="1" si="10"/>
        <v>873</v>
      </c>
      <c r="M55" s="15" t="str">
        <f>IF(COUNTIFS(Data!$C$2:$C$251,$A55,Data!$G$2:$G$251,"Electronics")&gt;0,"Yes","No")</f>
        <v>No</v>
      </c>
      <c r="N55" s="15" t="str">
        <f>IF(COUNTIFS(Data!$C$2:$C$251,$A55,Data!$G$2:$G$251,"Furniture")&gt;0,"Yes","No")</f>
        <v>No</v>
      </c>
      <c r="O55" s="15" t="str">
        <f>IF(COUNTIFS(Data!$C$2:$C$251,$A55,Data!$G$2:$G$251,"Appliances")&gt;0,"Yes","No")</f>
        <v>Yes</v>
      </c>
      <c r="P55" s="15">
        <f>(COUNTIFS(Data!$C$2:$C$251,A55,Data!$L$2:$L$251,"Basic")&gt;0)+(COUNTIFS(Data!$C$2:$C$251,A55,Data!$L$2:$L$251,"Standard")&gt;0)+(COUNTIFS(Data!$C$2:$C$251,A55,Data!$L$2:$L$251,"Premium")&gt;0)</f>
        <v>1</v>
      </c>
      <c r="Q55" s="1"/>
      <c r="R55" s="1"/>
      <c r="S55" s="1"/>
      <c r="T55" s="1"/>
      <c r="U55" s="1"/>
    </row>
    <row r="56" spans="1:2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3">
      <c r="A57" s="19" t="s">
        <v>452</v>
      </c>
      <c r="B57" s="15"/>
      <c r="C57" s="15"/>
      <c r="D57" s="15" t="str">
        <f>INDEX(B6:B55,MATCH(MAX(D6:D55),D6:D55,0))</f>
        <v>Mark Carter</v>
      </c>
      <c r="E57" s="1"/>
      <c r="F57" s="15">
        <f>MAX(D6:D55)</f>
        <v>12</v>
      </c>
      <c r="G57" s="15" t="s">
        <v>453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3">
      <c r="A58" s="19" t="s">
        <v>454</v>
      </c>
      <c r="B58" s="15"/>
      <c r="C58" s="15"/>
      <c r="D58" s="15">
        <f>COUNTIF(J6:J55,"High-Value")</f>
        <v>10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3">
      <c r="A59" s="19" t="s">
        <v>455</v>
      </c>
      <c r="B59" s="15"/>
      <c r="C59" s="15"/>
      <c r="D59" s="18">
        <f>SUMIF(J6:J55,"High-Value",F6:F55)/SUM(F6:F55)</f>
        <v>0.40955821977921003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3">
      <c r="A60" s="19" t="s">
        <v>456</v>
      </c>
      <c r="B60" s="15"/>
      <c r="C60" s="15"/>
      <c r="D60" s="15">
        <f>COUNTIFS(M6:M55,"Yes",N6:N55,"Yes")</f>
        <v>34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</sheetData>
  <mergeCells count="1">
    <mergeCell ref="A1:P1"/>
  </mergeCells>
  <conditionalFormatting sqref="F6:F55">
    <cfRule type="iconSet" priority="2">
      <iconSet iconSet="3Arrows">
        <cfvo type="percentile" val="0"/>
        <cfvo type="percentile" val="33"/>
        <cfvo type="percentile" val="67"/>
      </iconSet>
    </cfRule>
  </conditionalFormatting>
  <conditionalFormatting sqref="J6:J55">
    <cfRule type="cellIs" dxfId="0" priority="3" operator="equal">
      <formula>"High-Value"</formula>
    </cfRule>
  </conditionalFormatting>
  <conditionalFormatting sqref="H6:H55">
    <cfRule type="dataBar" priority="4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{C38D252C-9759-471E-A0FF-3D401328FD8D}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8D252C-9759-471E-A0FF-3D401328FD8D}">
            <x14:dataBar axisPosition="none">
              <x14:cfvo type="num">
                <xm:f>0</xm:f>
              </x14:cfvo>
              <x14:cfvo type="max"/>
              <x14:negativeFillColor rgb="FF5B9BD5"/>
            </x14:dataBar>
          </x14:cfRule>
          <xm:sqref>H6:H55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zoomScaleNormal="100" workbookViewId="0">
      <selection activeCell="F8" sqref="F8"/>
    </sheetView>
  </sheetViews>
  <sheetFormatPr defaultColWidth="8.6640625" defaultRowHeight="14.4" x14ac:dyDescent="0.3"/>
  <cols>
    <col min="1" max="2" width="34" customWidth="1"/>
  </cols>
  <sheetData>
    <row r="1" spans="1:7" ht="21" x14ac:dyDescent="0.3">
      <c r="A1" s="33" t="s">
        <v>509</v>
      </c>
      <c r="B1" s="34"/>
      <c r="C1" s="34"/>
      <c r="D1" s="34"/>
      <c r="E1" s="34"/>
      <c r="F1" s="34"/>
      <c r="G1" s="35"/>
    </row>
    <row r="2" spans="1:7" x14ac:dyDescent="0.3">
      <c r="A2" s="2" t="s">
        <v>510</v>
      </c>
      <c r="B2" s="1"/>
    </row>
    <row r="3" spans="1:7" x14ac:dyDescent="0.3">
      <c r="A3" s="1"/>
      <c r="B3" s="1"/>
    </row>
    <row r="4" spans="1:7" x14ac:dyDescent="0.3">
      <c r="A4" s="15" t="s">
        <v>511</v>
      </c>
      <c r="B4" s="36">
        <f ca="1">NOW()</f>
        <v>46325.373892013886</v>
      </c>
    </row>
    <row r="5" spans="1:7" x14ac:dyDescent="0.3">
      <c r="A5" s="15" t="s">
        <v>512</v>
      </c>
      <c r="B5" s="22">
        <f ca="1">TODAY()</f>
        <v>46325</v>
      </c>
    </row>
    <row r="6" spans="1:7" x14ac:dyDescent="0.3">
      <c r="A6" s="15" t="s">
        <v>513</v>
      </c>
      <c r="B6" s="22">
        <f>MAX(Data!$B$2:$B$251)</f>
        <v>45758</v>
      </c>
    </row>
    <row r="7" spans="1:7" x14ac:dyDescent="0.3">
      <c r="A7" s="15" t="s">
        <v>514</v>
      </c>
      <c r="B7" s="15">
        <f ca="1">B5-B6</f>
        <v>567</v>
      </c>
    </row>
    <row r="8" spans="1:7" x14ac:dyDescent="0.3">
      <c r="A8" s="15" t="s">
        <v>515</v>
      </c>
      <c r="B8" s="15" t="str">
        <f>DATEDIF(MIN(Data!$B$2:$B$251),B6,"y")&amp;"y "&amp;DATEDIF(MIN(Data!$B$2:$B$251),B6,"ym")&amp;"m "&amp;DATEDIF(MIN(Data!$B$2:$B$251),B6,"md")&amp;"d"</f>
        <v>1y 0m 0d</v>
      </c>
    </row>
    <row r="9" spans="1:7" x14ac:dyDescent="0.3">
      <c r="A9" s="1"/>
      <c r="B9" s="1"/>
    </row>
    <row r="10" spans="1:7" x14ac:dyDescent="0.3">
      <c r="A10" s="5" t="s">
        <v>516</v>
      </c>
      <c r="B10" s="1"/>
    </row>
    <row r="11" spans="1:7" x14ac:dyDescent="0.3">
      <c r="A11" s="24" t="s">
        <v>517</v>
      </c>
      <c r="B11" s="24" t="s">
        <v>518</v>
      </c>
    </row>
    <row r="12" spans="1:7" x14ac:dyDescent="0.3">
      <c r="A12" s="12"/>
      <c r="B12" s="11" t="str">
        <f ca="1">IF(A12&lt;&gt;"",IF(B12="",NOW(),B12),"")</f>
        <v/>
      </c>
    </row>
    <row r="13" spans="1:7" x14ac:dyDescent="0.3">
      <c r="A13" s="12"/>
      <c r="B13" s="11" t="str">
        <f ca="1">IF(A13&lt;&gt;"",IF(B13="",NOW(),B13),"")</f>
        <v/>
      </c>
    </row>
    <row r="14" spans="1:7" x14ac:dyDescent="0.3">
      <c r="A14" s="12"/>
      <c r="B14" s="11" t="str">
        <f ca="1">IF(A14&lt;&gt;"",IF(B14="",NOW(),B14),"")</f>
        <v/>
      </c>
    </row>
    <row r="15" spans="1:7" x14ac:dyDescent="0.3">
      <c r="A15" s="12"/>
      <c r="B15" s="11" t="str">
        <f ca="1">IF(A15&lt;&gt;"",IF(B15="",NOW(),B15),"")</f>
        <v/>
      </c>
    </row>
    <row r="16" spans="1:7" x14ac:dyDescent="0.3">
      <c r="A16" s="12"/>
      <c r="B16" s="11" t="str">
        <f ca="1">IF(A16&lt;&gt;"",IF(B16="",NOW(),B16),"")</f>
        <v/>
      </c>
    </row>
    <row r="17" spans="1:2" x14ac:dyDescent="0.3">
      <c r="A17" s="1"/>
      <c r="B17" s="1"/>
    </row>
    <row r="18" spans="1:2" x14ac:dyDescent="0.3">
      <c r="A18" s="2" t="s">
        <v>519</v>
      </c>
      <c r="B18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zoomScaleNormal="100" workbookViewId="0">
      <selection activeCell="S26" sqref="S26"/>
    </sheetView>
  </sheetViews>
  <sheetFormatPr defaultColWidth="8.6640625" defaultRowHeight="14.4" x14ac:dyDescent="0.3"/>
  <cols>
    <col min="1" max="1" width="30" customWidth="1"/>
    <col min="2" max="2" width="13" customWidth="1"/>
    <col min="3" max="3" width="14" customWidth="1"/>
    <col min="4" max="4" width="12" customWidth="1"/>
    <col min="5" max="5" width="14" customWidth="1"/>
    <col min="6" max="6" width="9" customWidth="1"/>
    <col min="7" max="7" width="12" customWidth="1"/>
    <col min="8" max="8" width="13" customWidth="1"/>
  </cols>
  <sheetData>
    <row r="1" spans="1:8" ht="21" x14ac:dyDescent="0.4">
      <c r="A1" s="14" t="s">
        <v>457</v>
      </c>
      <c r="B1" s="14"/>
      <c r="C1" s="14"/>
      <c r="D1" s="14"/>
      <c r="E1" s="14"/>
      <c r="F1" s="14"/>
      <c r="G1" s="14"/>
      <c r="H1" s="14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26.4" x14ac:dyDescent="0.3">
      <c r="A3" s="24" t="s">
        <v>33</v>
      </c>
      <c r="B3" s="24" t="s">
        <v>458</v>
      </c>
      <c r="C3" s="24" t="s">
        <v>35</v>
      </c>
      <c r="D3" s="24" t="s">
        <v>459</v>
      </c>
      <c r="E3" s="24" t="s">
        <v>8</v>
      </c>
      <c r="F3" s="24" t="s">
        <v>439</v>
      </c>
      <c r="G3" s="24" t="s">
        <v>440</v>
      </c>
      <c r="H3" s="24" t="s">
        <v>460</v>
      </c>
    </row>
    <row r="4" spans="1:8" x14ac:dyDescent="0.3">
      <c r="A4" s="15" t="s">
        <v>96</v>
      </c>
      <c r="B4" s="15" t="str">
        <f>INDEX(Data!$F$2:$F$251,MATCH(A4,Data!$E$2:$E$251,0))</f>
        <v>Laptop</v>
      </c>
      <c r="C4" s="15" t="str">
        <f>INDEX(Data!$G$2:$G$251,MATCH(A4,Data!$E$2:$E$251,0))</f>
        <v>Electronics</v>
      </c>
      <c r="D4" s="26">
        <f>INDEX(Data!$I$2:$I$251,MATCH(A4,Data!$E$2:$E$251,0))</f>
        <v>899.99</v>
      </c>
      <c r="E4" s="15">
        <f>COUNTIF(Data!$E$2:$E$251,A4)</f>
        <v>24</v>
      </c>
      <c r="F4" s="15">
        <f>SUMIF(Data!$E$2:$E$251,A4,Data!$H$2:$H$251)</f>
        <v>75</v>
      </c>
      <c r="G4" s="17">
        <f>SUMIF(Data!$E$2:$E$251,A4,Data!$N$2:$N$251)</f>
        <v>67499.25</v>
      </c>
      <c r="H4" s="18">
        <f t="shared" ref="H4:H13" si="0">G4/SUM($G$4:$G$13)</f>
        <v>0.29450902117333966</v>
      </c>
    </row>
    <row r="5" spans="1:8" x14ac:dyDescent="0.3">
      <c r="A5" s="15" t="s">
        <v>115</v>
      </c>
      <c r="B5" s="15" t="str">
        <f>INDEX(Data!$F$2:$F$251,MATCH(A5,Data!$E$2:$E$251,0))</f>
        <v>Smartphone</v>
      </c>
      <c r="C5" s="15" t="str">
        <f>INDEX(Data!$G$2:$G$251,MATCH(A5,Data!$E$2:$E$251,0))</f>
        <v>Electronics</v>
      </c>
      <c r="D5" s="26">
        <f>INDEX(Data!$I$2:$I$251,MATCH(A5,Data!$E$2:$E$251,0))</f>
        <v>699.99</v>
      </c>
      <c r="E5" s="15">
        <f>COUNTIF(Data!$E$2:$E$251,A5)</f>
        <v>31</v>
      </c>
      <c r="F5" s="15">
        <f>SUMIF(Data!$E$2:$E$251,A5,Data!$H$2:$H$251)</f>
        <v>96</v>
      </c>
      <c r="G5" s="17">
        <f>SUMIF(Data!$E$2:$E$251,A5,Data!$N$2:$N$251)</f>
        <v>67199.039999999994</v>
      </c>
      <c r="H5" s="18">
        <f t="shared" si="0"/>
        <v>0.29319916138606128</v>
      </c>
    </row>
    <row r="6" spans="1:8" x14ac:dyDescent="0.3">
      <c r="A6" s="15" t="s">
        <v>87</v>
      </c>
      <c r="B6" s="15" t="str">
        <f>INDEX(Data!$F$2:$F$251,MATCH(A6,Data!$E$2:$E$251,0))</f>
        <v>Headphones</v>
      </c>
      <c r="C6" s="15" t="str">
        <f>INDEX(Data!$G$2:$G$251,MATCH(A6,Data!$E$2:$E$251,0))</f>
        <v>Electronics</v>
      </c>
      <c r="D6" s="26">
        <f>INDEX(Data!$I$2:$I$251,MATCH(A6,Data!$E$2:$E$251,0))</f>
        <v>149.99</v>
      </c>
      <c r="E6" s="15">
        <f>COUNTIF(Data!$E$2:$E$251,A6)</f>
        <v>16</v>
      </c>
      <c r="F6" s="15">
        <f>SUMIF(Data!$E$2:$E$251,A6,Data!$H$2:$H$251)</f>
        <v>47</v>
      </c>
      <c r="G6" s="17">
        <f>SUMIF(Data!$E$2:$E$251,A6,Data!$N$2:$N$251)</f>
        <v>7049.5299999999988</v>
      </c>
      <c r="H6" s="18">
        <f t="shared" si="0"/>
        <v>3.0758122201833247E-2</v>
      </c>
    </row>
    <row r="7" spans="1:8" x14ac:dyDescent="0.3">
      <c r="A7" s="15" t="s">
        <v>152</v>
      </c>
      <c r="B7" s="15" t="str">
        <f>INDEX(Data!$F$2:$F$251,MATCH(A7,Data!$E$2:$E$251,0))</f>
        <v>Coffee Maker</v>
      </c>
      <c r="C7" s="15" t="str">
        <f>INDEX(Data!$G$2:$G$251,MATCH(A7,Data!$E$2:$E$251,0))</f>
        <v>Appliances</v>
      </c>
      <c r="D7" s="26">
        <f>INDEX(Data!$I$2:$I$251,MATCH(A7,Data!$E$2:$E$251,0))</f>
        <v>79.989999999999995</v>
      </c>
      <c r="E7" s="15">
        <f>COUNTIF(Data!$E$2:$E$251,A7)</f>
        <v>14</v>
      </c>
      <c r="F7" s="15">
        <f>SUMIF(Data!$E$2:$E$251,A7,Data!$H$2:$H$251)</f>
        <v>39</v>
      </c>
      <c r="G7" s="17">
        <f>SUMIF(Data!$E$2:$E$251,A7,Data!$N$2:$N$251)</f>
        <v>3119.6099999999992</v>
      </c>
      <c r="H7" s="18">
        <f t="shared" si="0"/>
        <v>1.3611311052234832E-2</v>
      </c>
    </row>
    <row r="8" spans="1:8" x14ac:dyDescent="0.3">
      <c r="A8" s="15" t="s">
        <v>66</v>
      </c>
      <c r="B8" s="15" t="str">
        <f>INDEX(Data!$F$2:$F$251,MATCH(A8,Data!$E$2:$E$251,0))</f>
        <v>Blender</v>
      </c>
      <c r="C8" s="15" t="str">
        <f>INDEX(Data!$G$2:$G$251,MATCH(A8,Data!$E$2:$E$251,0))</f>
        <v>Appliances</v>
      </c>
      <c r="D8" s="26">
        <f>INDEX(Data!$I$2:$I$251,MATCH(A8,Data!$E$2:$E$251,0))</f>
        <v>59.99</v>
      </c>
      <c r="E8" s="15">
        <f>COUNTIF(Data!$E$2:$E$251,A8)</f>
        <v>29</v>
      </c>
      <c r="F8" s="15">
        <f>SUMIF(Data!$E$2:$E$251,A8,Data!$H$2:$H$251)</f>
        <v>87</v>
      </c>
      <c r="G8" s="17">
        <f>SUMIF(Data!$E$2:$E$251,A8,Data!$N$2:$N$251)</f>
        <v>5219.1299999999974</v>
      </c>
      <c r="H8" s="18">
        <f t="shared" si="0"/>
        <v>2.2771821430259024E-2</v>
      </c>
    </row>
    <row r="9" spans="1:8" x14ac:dyDescent="0.3">
      <c r="A9" s="15" t="s">
        <v>158</v>
      </c>
      <c r="B9" s="15" t="str">
        <f>INDEX(Data!$F$2:$F$251,MATCH(A9,Data!$E$2:$E$251,0))</f>
        <v>Office Chair</v>
      </c>
      <c r="C9" s="15" t="str">
        <f>INDEX(Data!$G$2:$G$251,MATCH(A9,Data!$E$2:$E$251,0))</f>
        <v>Furniture</v>
      </c>
      <c r="D9" s="26">
        <f>INDEX(Data!$I$2:$I$251,MATCH(A9,Data!$E$2:$E$251,0))</f>
        <v>199.99</v>
      </c>
      <c r="E9" s="15">
        <f>COUNTIF(Data!$E$2:$E$251,A9)</f>
        <v>15</v>
      </c>
      <c r="F9" s="15">
        <f>SUMIF(Data!$E$2:$E$251,A9,Data!$H$2:$H$251)</f>
        <v>52</v>
      </c>
      <c r="G9" s="17">
        <f>SUMIF(Data!$E$2:$E$251,A9,Data!$N$2:$N$251)</f>
        <v>10399.479999999998</v>
      </c>
      <c r="H9" s="18">
        <f t="shared" si="0"/>
        <v>4.537444009395248E-2</v>
      </c>
    </row>
    <row r="10" spans="1:8" x14ac:dyDescent="0.3">
      <c r="A10" s="15" t="s">
        <v>140</v>
      </c>
      <c r="B10" s="15" t="str">
        <f>INDEX(Data!$F$2:$F$251,MATCH(A10,Data!$E$2:$E$251,0))</f>
        <v>Desk</v>
      </c>
      <c r="C10" s="15" t="str">
        <f>INDEX(Data!$G$2:$G$251,MATCH(A10,Data!$E$2:$E$251,0))</f>
        <v>Furniture</v>
      </c>
      <c r="D10" s="26">
        <f>INDEX(Data!$I$2:$I$251,MATCH(A10,Data!$E$2:$E$251,0))</f>
        <v>299.99</v>
      </c>
      <c r="E10" s="15">
        <f>COUNTIF(Data!$E$2:$E$251,A10)</f>
        <v>26</v>
      </c>
      <c r="F10" s="15">
        <f>SUMIF(Data!$E$2:$E$251,A10,Data!$H$2:$H$251)</f>
        <v>78</v>
      </c>
      <c r="G10" s="17">
        <f>SUMIF(Data!$E$2:$E$251,A10,Data!$N$2:$N$251)</f>
        <v>23399.22</v>
      </c>
      <c r="H10" s="18">
        <f t="shared" si="0"/>
        <v>0.10209419183797795</v>
      </c>
    </row>
    <row r="11" spans="1:8" x14ac:dyDescent="0.3">
      <c r="A11" s="15" t="s">
        <v>79</v>
      </c>
      <c r="B11" s="15" t="str">
        <f>INDEX(Data!$F$2:$F$251,MATCH(A11,Data!$E$2:$E$251,0))</f>
        <v>Bookshelf</v>
      </c>
      <c r="C11" s="15" t="str">
        <f>INDEX(Data!$G$2:$G$251,MATCH(A11,Data!$E$2:$E$251,0))</f>
        <v>Furniture</v>
      </c>
      <c r="D11" s="26">
        <f>INDEX(Data!$I$2:$I$251,MATCH(A11,Data!$E$2:$E$251,0))</f>
        <v>149.99</v>
      </c>
      <c r="E11" s="15">
        <f>COUNTIF(Data!$E$2:$E$251,A11)</f>
        <v>35</v>
      </c>
      <c r="F11" s="15">
        <f>SUMIF(Data!$E$2:$E$251,A11,Data!$H$2:$H$251)</f>
        <v>102</v>
      </c>
      <c r="G11" s="17">
        <f>SUMIF(Data!$E$2:$E$251,A11,Data!$N$2:$N$251)</f>
        <v>15298.979999999994</v>
      </c>
      <c r="H11" s="18">
        <f t="shared" si="0"/>
        <v>6.6751669459297669E-2</v>
      </c>
    </row>
    <row r="12" spans="1:8" x14ac:dyDescent="0.3">
      <c r="A12" s="15" t="s">
        <v>52</v>
      </c>
      <c r="B12" s="15" t="str">
        <f>INDEX(Data!$F$2:$F$251,MATCH(A12,Data!$E$2:$E$251,0))</f>
        <v>Monitor</v>
      </c>
      <c r="C12" s="15" t="str">
        <f>INDEX(Data!$G$2:$G$251,MATCH(A12,Data!$E$2:$E$251,0))</f>
        <v>Electronics</v>
      </c>
      <c r="D12" s="26">
        <f>INDEX(Data!$I$2:$I$251,MATCH(A12,Data!$E$2:$E$251,0))</f>
        <v>249.99</v>
      </c>
      <c r="E12" s="15">
        <f>COUNTIF(Data!$E$2:$E$251,A12)</f>
        <v>26</v>
      </c>
      <c r="F12" s="15">
        <f>SUMIF(Data!$E$2:$E$251,A12,Data!$H$2:$H$251)</f>
        <v>88</v>
      </c>
      <c r="G12" s="17">
        <f>SUMIF(Data!$E$2:$E$251,A12,Data!$N$2:$N$251)</f>
        <v>21999.119999999999</v>
      </c>
      <c r="H12" s="18">
        <f t="shared" si="0"/>
        <v>9.5985352398357607E-2</v>
      </c>
    </row>
    <row r="13" spans="1:8" x14ac:dyDescent="0.3">
      <c r="A13" s="15" t="s">
        <v>146</v>
      </c>
      <c r="B13" s="15" t="str">
        <f>INDEX(Data!$F$2:$F$251,MATCH(A13,Data!$E$2:$E$251,0))</f>
        <v>Keyboard</v>
      </c>
      <c r="C13" s="15" t="str">
        <f>INDEX(Data!$G$2:$G$251,MATCH(A13,Data!$E$2:$E$251,0))</f>
        <v>Electronics</v>
      </c>
      <c r="D13" s="26">
        <f>INDEX(Data!$I$2:$I$251,MATCH(A13,Data!$E$2:$E$251,0))</f>
        <v>89.99</v>
      </c>
      <c r="E13" s="15">
        <f>COUNTIF(Data!$E$2:$E$251,A13)</f>
        <v>34</v>
      </c>
      <c r="F13" s="15">
        <f>SUMIF(Data!$E$2:$E$251,A13,Data!$H$2:$H$251)</f>
        <v>89</v>
      </c>
      <c r="G13" s="17">
        <f>SUMIF(Data!$E$2:$E$251,A13,Data!$N$2:$N$251)</f>
        <v>8009.1099999999969</v>
      </c>
      <c r="H13" s="18">
        <f t="shared" si="0"/>
        <v>3.494490896668638E-2</v>
      </c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9" t="s">
        <v>461</v>
      </c>
      <c r="B15" s="15"/>
      <c r="C15" s="15"/>
      <c r="D15" s="15"/>
      <c r="E15" s="15" t="str">
        <f>INDEX(B4:B13,MATCH(MAX(E4:E13),E4:E13,0))</f>
        <v>Bookshelf</v>
      </c>
      <c r="F15" s="15"/>
      <c r="G15" s="15">
        <f>MAX(E4:E13)</f>
        <v>35</v>
      </c>
      <c r="H15" s="1"/>
    </row>
    <row r="16" spans="1:8" x14ac:dyDescent="0.3">
      <c r="A16" s="19" t="s">
        <v>462</v>
      </c>
      <c r="B16" s="15"/>
      <c r="C16" s="15"/>
      <c r="D16" s="15"/>
      <c r="E16" s="15" t="str">
        <f>INDEX(B4:B13,MATCH(MAX(F4:F13),F4:F13,0))</f>
        <v>Bookshelf</v>
      </c>
      <c r="F16" s="15"/>
      <c r="G16" s="15">
        <f>MAX(F4:F13)</f>
        <v>102</v>
      </c>
      <c r="H16" s="1"/>
    </row>
    <row r="17" spans="1:8" x14ac:dyDescent="0.3">
      <c r="A17" s="19" t="s">
        <v>463</v>
      </c>
      <c r="B17" s="15"/>
      <c r="C17" s="15"/>
      <c r="D17" s="15"/>
      <c r="E17" s="15" t="str">
        <f>INDEX(B4:B13,MATCH(MAX(G4:G13),G4:G13,0))</f>
        <v>Laptop</v>
      </c>
      <c r="F17" s="15"/>
      <c r="G17" s="17">
        <f>MAX(G4:G13)</f>
        <v>67499.25</v>
      </c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ht="26.4" x14ac:dyDescent="0.3">
      <c r="A20" s="24" t="s">
        <v>35</v>
      </c>
      <c r="B20" s="24" t="s">
        <v>8</v>
      </c>
      <c r="C20" s="24" t="s">
        <v>440</v>
      </c>
      <c r="D20" s="24" t="s">
        <v>460</v>
      </c>
      <c r="E20" s="1"/>
      <c r="F20" s="1"/>
      <c r="G20" s="1"/>
      <c r="H20" s="1"/>
    </row>
    <row r="21" spans="1:8" x14ac:dyDescent="0.3">
      <c r="A21" s="15" t="s">
        <v>54</v>
      </c>
      <c r="B21" s="15">
        <f>COUNTIF(Data!$G$2:$G$251,A21)</f>
        <v>131</v>
      </c>
      <c r="C21" s="17">
        <f>SUMIF(Data!$G$2:$G$251,A21,Data!$N$2:$N$251)</f>
        <v>171756.05000000013</v>
      </c>
      <c r="D21" s="18">
        <f>C21/SUM(C$21:C$23)</f>
        <v>0.74939656612627814</v>
      </c>
      <c r="E21" s="1"/>
      <c r="F21" s="1"/>
      <c r="G21" s="1"/>
      <c r="H21" s="1"/>
    </row>
    <row r="22" spans="1:8" x14ac:dyDescent="0.3">
      <c r="A22" s="15" t="s">
        <v>81</v>
      </c>
      <c r="B22" s="15">
        <f>COUNTIF(Data!$G$2:$G$251,A22)</f>
        <v>76</v>
      </c>
      <c r="C22" s="17">
        <f>SUMIF(Data!$G$2:$G$251,A22,Data!$N$2:$N$251)</f>
        <v>49097.680000000015</v>
      </c>
      <c r="D22" s="18">
        <f>C22/SUM(C$21:C$23)</f>
        <v>0.214220301391228</v>
      </c>
      <c r="E22" s="1"/>
      <c r="F22" s="1"/>
      <c r="G22" s="1"/>
      <c r="H22" s="1"/>
    </row>
    <row r="23" spans="1:8" x14ac:dyDescent="0.3">
      <c r="A23" s="15" t="s">
        <v>68</v>
      </c>
      <c r="B23" s="15">
        <f>COUNTIF(Data!$G$2:$G$251,A23)</f>
        <v>43</v>
      </c>
      <c r="C23" s="17">
        <f>SUMIF(Data!$G$2:$G$251,A23,Data!$N$2:$N$251)</f>
        <v>8338.7399999999961</v>
      </c>
      <c r="D23" s="18">
        <f>C23/SUM(C$21:C$23)</f>
        <v>3.6383132482493821E-2</v>
      </c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ht="26.4" x14ac:dyDescent="0.3">
      <c r="A26" s="24" t="s">
        <v>39</v>
      </c>
      <c r="B26" s="24" t="s">
        <v>8</v>
      </c>
      <c r="C26" s="24" t="s">
        <v>440</v>
      </c>
      <c r="D26" s="24" t="s">
        <v>460</v>
      </c>
      <c r="E26" s="1"/>
      <c r="F26" s="1"/>
      <c r="G26" s="1"/>
      <c r="H26" s="1"/>
    </row>
    <row r="27" spans="1:8" x14ac:dyDescent="0.3">
      <c r="A27" s="15" t="s">
        <v>75</v>
      </c>
      <c r="B27" s="15">
        <f>COUNTIF(Data!$K$2:$K$251,A27)</f>
        <v>59</v>
      </c>
      <c r="C27" s="17">
        <f>SUMIF(Data!$K$2:$K$251,A27,Data!$N$2:$N$251)</f>
        <v>50808.310000000012</v>
      </c>
      <c r="D27" s="18">
        <f>C27/SUM(C$27:C$31)</f>
        <v>0.221684028275449</v>
      </c>
      <c r="E27" s="1"/>
      <c r="F27" s="1"/>
      <c r="G27" s="1"/>
      <c r="H27" s="1"/>
    </row>
    <row r="28" spans="1:8" x14ac:dyDescent="0.3">
      <c r="A28" s="15" t="s">
        <v>70</v>
      </c>
      <c r="B28" s="15">
        <f>COUNTIF(Data!$K$2:$K$251,A28)</f>
        <v>42</v>
      </c>
      <c r="C28" s="17">
        <f>SUMIF(Data!$K$2:$K$251,A28,Data!$N$2:$N$251)</f>
        <v>36398.750000000007</v>
      </c>
      <c r="D28" s="18">
        <f>C28/SUM(C$27:C$31)</f>
        <v>0.1588130273215346</v>
      </c>
      <c r="E28" s="1"/>
      <c r="F28" s="1"/>
      <c r="G28" s="1"/>
      <c r="H28" s="1"/>
    </row>
    <row r="29" spans="1:8" x14ac:dyDescent="0.3">
      <c r="A29" s="15" t="s">
        <v>98</v>
      </c>
      <c r="B29" s="15">
        <f>COUNTIF(Data!$K$2:$K$251,A29)</f>
        <v>48</v>
      </c>
      <c r="C29" s="17">
        <f>SUMIF(Data!$K$2:$K$251,A29,Data!$N$2:$N$251)</f>
        <v>59288.389999999992</v>
      </c>
      <c r="D29" s="18">
        <f>C29/SUM(C$27:C$31)</f>
        <v>0.25868384768487368</v>
      </c>
      <c r="E29" s="1"/>
      <c r="F29" s="1"/>
      <c r="G29" s="1"/>
      <c r="H29" s="1"/>
    </row>
    <row r="30" spans="1:8" x14ac:dyDescent="0.3">
      <c r="A30" s="15" t="s">
        <v>85</v>
      </c>
      <c r="B30" s="15">
        <f>COUNTIF(Data!$K$2:$K$251,A30)</f>
        <v>47</v>
      </c>
      <c r="C30" s="17">
        <f>SUMIF(Data!$K$2:$K$251,A30,Data!$N$2:$N$251)</f>
        <v>41408.680000000015</v>
      </c>
      <c r="D30" s="18">
        <f>C30/SUM(C$27:C$31)</f>
        <v>0.18067207879909844</v>
      </c>
      <c r="E30" s="1"/>
      <c r="F30" s="1"/>
      <c r="G30" s="1"/>
      <c r="H30" s="1"/>
    </row>
    <row r="31" spans="1:8" x14ac:dyDescent="0.3">
      <c r="A31" s="15" t="s">
        <v>56</v>
      </c>
      <c r="B31" s="15">
        <f>COUNTIF(Data!$K$2:$K$251,A31)</f>
        <v>54</v>
      </c>
      <c r="C31" s="17">
        <f>SUMIF(Data!$K$2:$K$251,A31,Data!$N$2:$N$251)</f>
        <v>41288.340000000018</v>
      </c>
      <c r="D31" s="18">
        <f>C31/SUM(C$27:C$31)</f>
        <v>0.18014701791904422</v>
      </c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ht="26.4" x14ac:dyDescent="0.3">
      <c r="A34" s="24" t="s">
        <v>464</v>
      </c>
      <c r="B34" s="24" t="s">
        <v>8</v>
      </c>
      <c r="C34" s="24" t="s">
        <v>440</v>
      </c>
      <c r="D34" s="24" t="s">
        <v>460</v>
      </c>
      <c r="E34" s="1"/>
      <c r="F34" s="1"/>
      <c r="G34" s="1"/>
      <c r="H34" s="1"/>
    </row>
    <row r="35" spans="1:8" x14ac:dyDescent="0.3">
      <c r="A35" s="15" t="s">
        <v>55</v>
      </c>
      <c r="B35" s="15">
        <f>COUNTIF(Data!$J$2:$J$251,A35)</f>
        <v>76</v>
      </c>
      <c r="C35" s="17">
        <f>SUMIF(Data!$J$2:$J$251,A35,Data!$N$2:$N$251)</f>
        <v>57427.790000000023</v>
      </c>
      <c r="D35" s="18">
        <f>C35/SUM(C$35:C$38)</f>
        <v>0.25056577993160078</v>
      </c>
      <c r="E35" s="1"/>
      <c r="F35" s="1"/>
      <c r="G35" s="1"/>
      <c r="H35" s="1"/>
    </row>
    <row r="36" spans="1:8" x14ac:dyDescent="0.3">
      <c r="A36" s="15" t="s">
        <v>61</v>
      </c>
      <c r="B36" s="15">
        <f>COUNTIF(Data!$J$2:$J$251,A36)</f>
        <v>68</v>
      </c>
      <c r="C36" s="17">
        <f>SUMIF(Data!$J$2:$J$251,A36,Data!$N$2:$N$251)</f>
        <v>61447.960000000014</v>
      </c>
      <c r="D36" s="18">
        <f>C36/SUM(C$35:C$38)</f>
        <v>0.26810636492551437</v>
      </c>
      <c r="E36" s="1"/>
      <c r="F36" s="1"/>
      <c r="G36" s="1"/>
      <c r="H36" s="1"/>
    </row>
    <row r="37" spans="1:8" x14ac:dyDescent="0.3">
      <c r="A37" s="15" t="s">
        <v>92</v>
      </c>
      <c r="B37" s="15">
        <f>COUNTIF(Data!$J$2:$J$251,A37)</f>
        <v>54</v>
      </c>
      <c r="C37" s="17">
        <f>SUMIF(Data!$J$2:$J$251,A37,Data!$N$2:$N$251)</f>
        <v>52118.310000000005</v>
      </c>
      <c r="D37" s="18">
        <f>C37/SUM(C$35:C$38)</f>
        <v>0.22739974834251753</v>
      </c>
      <c r="E37" s="1"/>
      <c r="F37" s="1"/>
      <c r="G37" s="1"/>
      <c r="H37" s="1"/>
    </row>
    <row r="38" spans="1:8" x14ac:dyDescent="0.3">
      <c r="A38" s="15" t="s">
        <v>69</v>
      </c>
      <c r="B38" s="15">
        <f>COUNTIF(Data!$J$2:$J$251,A38)</f>
        <v>52</v>
      </c>
      <c r="C38" s="17">
        <f>SUMIF(Data!$J$2:$J$251,A38,Data!$N$2:$N$251)</f>
        <v>58198.409999999996</v>
      </c>
      <c r="D38" s="18">
        <f>C38/SUM(C$35:C$38)</f>
        <v>0.25392810680036737</v>
      </c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ht="26.4" x14ac:dyDescent="0.3">
      <c r="A41" s="24" t="s">
        <v>465</v>
      </c>
      <c r="B41" s="24" t="s">
        <v>8</v>
      </c>
      <c r="C41" s="24" t="s">
        <v>440</v>
      </c>
      <c r="D41" s="24" t="s">
        <v>460</v>
      </c>
      <c r="E41" s="1"/>
      <c r="F41" s="1"/>
      <c r="G41" s="1"/>
      <c r="H41" s="1"/>
    </row>
    <row r="42" spans="1:8" x14ac:dyDescent="0.3">
      <c r="A42" s="15" t="s">
        <v>57</v>
      </c>
      <c r="B42" s="15">
        <f>COUNTIF(Data!$L$2:$L$251,A42)</f>
        <v>74</v>
      </c>
      <c r="C42" s="17">
        <f>SUMIF(Data!$L$2:$L$251,A42,Data!$N$2:$N$251)</f>
        <v>62177.810000000019</v>
      </c>
      <c r="D42" s="18">
        <f>C42/SUM(C$42:C$44)</f>
        <v>0.27129080636898756</v>
      </c>
      <c r="E42" s="1"/>
      <c r="F42" s="1"/>
      <c r="G42" s="1"/>
      <c r="H42" s="1"/>
    </row>
    <row r="43" spans="1:8" x14ac:dyDescent="0.3">
      <c r="A43" s="15" t="s">
        <v>71</v>
      </c>
      <c r="B43" s="15">
        <f>COUNTIF(Data!$L$2:$L$251,A43)</f>
        <v>81</v>
      </c>
      <c r="C43" s="17">
        <f>SUMIF(Data!$L$2:$L$251,A43,Data!$N$2:$N$251)</f>
        <v>82357.540000000037</v>
      </c>
      <c r="D43" s="18">
        <f>C43/SUM(C$42:C$44)</f>
        <v>0.35933789622320489</v>
      </c>
      <c r="E43" s="1"/>
      <c r="F43" s="1"/>
      <c r="G43" s="1"/>
      <c r="H43" s="1"/>
    </row>
    <row r="44" spans="1:8" x14ac:dyDescent="0.3">
      <c r="A44" s="15" t="s">
        <v>62</v>
      </c>
      <c r="B44" s="15">
        <f>COUNTIF(Data!$L$2:$L$251,A44)</f>
        <v>95</v>
      </c>
      <c r="C44" s="17">
        <f>SUMIF(Data!$L$2:$L$251,A44,Data!$N$2:$N$251)</f>
        <v>84657.12000000001</v>
      </c>
      <c r="D44" s="18">
        <f>C44/SUM(C$42:C$44)</f>
        <v>0.36937129740780739</v>
      </c>
      <c r="E44" s="1"/>
      <c r="F44" s="1"/>
      <c r="G44" s="1"/>
      <c r="H44" s="1"/>
    </row>
  </sheetData>
  <mergeCells count="1">
    <mergeCell ref="A1:H1"/>
  </mergeCells>
  <conditionalFormatting sqref="G4:G13">
    <cfRule type="dataBar" priority="2">
      <dataBar>
        <cfvo type="num" val="0"/>
        <cfvo type="max"/>
        <color rgb="FF70AD47"/>
      </dataBar>
      <extLst>
        <ext xmlns:x14="http://schemas.microsoft.com/office/spreadsheetml/2009/9/main" uri="{B025F937-C7B1-47D3-B67F-A62EFF666E3E}">
          <x14:id>{8F50B030-C47F-4235-A396-4AA5BD28A5DE}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50B030-C47F-4235-A396-4AA5BD28A5DE}">
            <x14:dataBar axisPosition="none">
              <x14:cfvo type="num">
                <xm:f>0</xm:f>
              </x14:cfvo>
              <x14:cfvo type="max"/>
              <x14:negativeFillColor rgb="FF70AD47"/>
            </x14:dataBar>
          </x14:cfRule>
          <xm:sqref>G4:G13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"/>
  <sheetViews>
    <sheetView topLeftCell="A7" zoomScaleNormal="100" workbookViewId="0">
      <selection activeCell="L9" sqref="L9"/>
    </sheetView>
  </sheetViews>
  <sheetFormatPr defaultColWidth="8.6640625" defaultRowHeight="14.4" x14ac:dyDescent="0.3"/>
  <cols>
    <col min="1" max="1" width="32" customWidth="1"/>
    <col min="2" max="3" width="14" customWidth="1"/>
    <col min="4" max="4" width="7.109375" bestFit="1" customWidth="1"/>
    <col min="5" max="5" width="14" customWidth="1"/>
    <col min="6" max="6" width="12" customWidth="1"/>
    <col min="7" max="7" width="20" customWidth="1"/>
    <col min="8" max="8" width="14" customWidth="1"/>
  </cols>
  <sheetData>
    <row r="1" spans="1:8" ht="25.2" customHeight="1" x14ac:dyDescent="0.4">
      <c r="A1" s="13" t="s">
        <v>466</v>
      </c>
      <c r="B1" s="13"/>
      <c r="C1" s="13"/>
      <c r="D1" s="13"/>
      <c r="E1" s="13"/>
      <c r="F1" s="13"/>
      <c r="G1" s="13"/>
      <c r="H1" s="13"/>
    </row>
    <row r="2" spans="1:8" x14ac:dyDescent="0.3">
      <c r="A2" s="1" t="s">
        <v>467</v>
      </c>
      <c r="B2" s="9">
        <v>45383</v>
      </c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ht="26.4" x14ac:dyDescent="0.3">
      <c r="A4" s="24" t="s">
        <v>468</v>
      </c>
      <c r="B4" s="24" t="s">
        <v>469</v>
      </c>
      <c r="C4" s="24" t="s">
        <v>440</v>
      </c>
      <c r="D4" s="24" t="s">
        <v>8</v>
      </c>
      <c r="E4" s="24" t="s">
        <v>470</v>
      </c>
      <c r="F4" s="24" t="s">
        <v>471</v>
      </c>
      <c r="G4" s="24" t="s">
        <v>472</v>
      </c>
      <c r="H4" s="24" t="s">
        <v>473</v>
      </c>
    </row>
    <row r="5" spans="1:8" x14ac:dyDescent="0.3">
      <c r="A5" s="22">
        <f>EOMONTH($B$2,0)</f>
        <v>45412</v>
      </c>
      <c r="B5" s="15" t="str">
        <f t="shared" ref="B5:B17" si="0">TEXT(A5,"mmm yyyy")</f>
        <v>Apr 2024</v>
      </c>
      <c r="C5" s="17">
        <f>SUMIFS(Data!$N$2:$N$251,Data!$O$2:$O$251,A5)</f>
        <v>20919.330000000002</v>
      </c>
      <c r="D5" s="15">
        <f>COUNTIFS(Data!$O$2:$O$251,A5)</f>
        <v>21</v>
      </c>
      <c r="E5" s="18"/>
      <c r="F5" s="15">
        <v>1</v>
      </c>
      <c r="G5" s="15" t="s">
        <v>474</v>
      </c>
      <c r="H5" s="17">
        <f t="shared" ref="H5:H17" si="1">$B$21+$B$20*F5</f>
        <v>16269.276</v>
      </c>
    </row>
    <row r="6" spans="1:8" x14ac:dyDescent="0.3">
      <c r="A6" s="22">
        <f t="shared" ref="A6:A17" si="2">EOMONTH(A5,1)</f>
        <v>45443</v>
      </c>
      <c r="B6" s="15" t="str">
        <f t="shared" si="0"/>
        <v>May 2024</v>
      </c>
      <c r="C6" s="17">
        <f>SUMIFS(Data!$N$2:$N$251,Data!$O$2:$O$251,A6)</f>
        <v>17039.349999999999</v>
      </c>
      <c r="D6" s="15">
        <f>COUNTIFS(Data!$O$2:$O$251,A6)</f>
        <v>19</v>
      </c>
      <c r="E6" s="18">
        <f t="shared" ref="E6:E17" si="3">IF(C5=0,0,C6/C5-1)</f>
        <v>-0.18547343533468819</v>
      </c>
      <c r="F6" s="15">
        <v>2</v>
      </c>
      <c r="G6" s="15" t="s">
        <v>475</v>
      </c>
      <c r="H6" s="17">
        <f t="shared" si="1"/>
        <v>16607.628636363635</v>
      </c>
    </row>
    <row r="7" spans="1:8" x14ac:dyDescent="0.3">
      <c r="A7" s="22">
        <f t="shared" si="2"/>
        <v>45473</v>
      </c>
      <c r="B7" s="15" t="str">
        <f t="shared" si="0"/>
        <v>Jun 2024</v>
      </c>
      <c r="C7" s="17">
        <f>SUMIFS(Data!$N$2:$N$251,Data!$O$2:$O$251,A7)</f>
        <v>19299.45</v>
      </c>
      <c r="D7" s="15">
        <f>COUNTIFS(Data!$O$2:$O$251,A7)</f>
        <v>19</v>
      </c>
      <c r="E7" s="18">
        <f t="shared" si="3"/>
        <v>0.13264003615161379</v>
      </c>
      <c r="F7" s="15">
        <v>3</v>
      </c>
      <c r="G7" s="15" t="s">
        <v>475</v>
      </c>
      <c r="H7" s="17">
        <f t="shared" si="1"/>
        <v>16945.981272727273</v>
      </c>
    </row>
    <row r="8" spans="1:8" x14ac:dyDescent="0.3">
      <c r="A8" s="22">
        <f t="shared" si="2"/>
        <v>45504</v>
      </c>
      <c r="B8" s="15" t="str">
        <f t="shared" si="0"/>
        <v>Jul 2024</v>
      </c>
      <c r="C8" s="17">
        <f>SUMIFS(Data!$N$2:$N$251,Data!$O$2:$O$251,A8)</f>
        <v>18479.399999999994</v>
      </c>
      <c r="D8" s="15">
        <f>COUNTIFS(Data!$O$2:$O$251,A8)</f>
        <v>24</v>
      </c>
      <c r="E8" s="18">
        <f t="shared" si="3"/>
        <v>-4.2490848184793206E-2</v>
      </c>
      <c r="F8" s="15">
        <v>4</v>
      </c>
      <c r="G8" s="15" t="s">
        <v>475</v>
      </c>
      <c r="H8" s="17">
        <f t="shared" si="1"/>
        <v>17284.33390909091</v>
      </c>
    </row>
    <row r="9" spans="1:8" x14ac:dyDescent="0.3">
      <c r="A9" s="22">
        <f t="shared" si="2"/>
        <v>45535</v>
      </c>
      <c r="B9" s="15" t="str">
        <f t="shared" si="0"/>
        <v>Aug 2024</v>
      </c>
      <c r="C9" s="17">
        <f>SUMIFS(Data!$N$2:$N$251,Data!$O$2:$O$251,A9)</f>
        <v>15759.429999999998</v>
      </c>
      <c r="D9" s="15">
        <f>COUNTIFS(Data!$O$2:$O$251,A9)</f>
        <v>18</v>
      </c>
      <c r="E9" s="18">
        <f t="shared" si="3"/>
        <v>-0.14718930268298736</v>
      </c>
      <c r="F9" s="15">
        <v>5</v>
      </c>
      <c r="G9" s="15" t="s">
        <v>475</v>
      </c>
      <c r="H9" s="17">
        <f t="shared" si="1"/>
        <v>17622.686545454548</v>
      </c>
    </row>
    <row r="10" spans="1:8" x14ac:dyDescent="0.3">
      <c r="A10" s="22">
        <f t="shared" si="2"/>
        <v>45565</v>
      </c>
      <c r="B10" s="15" t="str">
        <f t="shared" si="0"/>
        <v>Sep 2024</v>
      </c>
      <c r="C10" s="17">
        <f>SUMIFS(Data!$N$2:$N$251,Data!$O$2:$O$251,A10)</f>
        <v>12989.509999999998</v>
      </c>
      <c r="D10" s="15">
        <f>COUNTIFS(Data!$O$2:$O$251,A10)</f>
        <v>19</v>
      </c>
      <c r="E10" s="18">
        <f t="shared" si="3"/>
        <v>-0.17576270207742284</v>
      </c>
      <c r="F10" s="15">
        <v>6</v>
      </c>
      <c r="G10" s="15" t="s">
        <v>475</v>
      </c>
      <c r="H10" s="17">
        <f t="shared" si="1"/>
        <v>17961.039181818182</v>
      </c>
    </row>
    <row r="11" spans="1:8" x14ac:dyDescent="0.3">
      <c r="A11" s="22">
        <f t="shared" si="2"/>
        <v>45596</v>
      </c>
      <c r="B11" s="15" t="str">
        <f t="shared" si="0"/>
        <v>Oct 2024</v>
      </c>
      <c r="C11" s="17">
        <f>SUMIFS(Data!$N$2:$N$251,Data!$O$2:$O$251,A11)</f>
        <v>20609.52</v>
      </c>
      <c r="D11" s="15">
        <f>COUNTIFS(Data!$O$2:$O$251,A11)</f>
        <v>16</v>
      </c>
      <c r="E11" s="18">
        <f t="shared" si="3"/>
        <v>0.58662797903847053</v>
      </c>
      <c r="F11" s="15">
        <v>7</v>
      </c>
      <c r="G11" s="15" t="s">
        <v>475</v>
      </c>
      <c r="H11" s="17">
        <f t="shared" si="1"/>
        <v>18299.391818181819</v>
      </c>
    </row>
    <row r="12" spans="1:8" x14ac:dyDescent="0.3">
      <c r="A12" s="22">
        <f t="shared" si="2"/>
        <v>45626</v>
      </c>
      <c r="B12" s="15" t="str">
        <f t="shared" si="0"/>
        <v>Nov 2024</v>
      </c>
      <c r="C12" s="17">
        <f>SUMIFS(Data!$N$2:$N$251,Data!$O$2:$O$251,A12)</f>
        <v>12309.439999999999</v>
      </c>
      <c r="D12" s="15">
        <f>COUNTIFS(Data!$O$2:$O$251,A12)</f>
        <v>17</v>
      </c>
      <c r="E12" s="18">
        <f t="shared" si="3"/>
        <v>-0.40273038867474842</v>
      </c>
      <c r="F12" s="15">
        <v>8</v>
      </c>
      <c r="G12" s="15" t="s">
        <v>475</v>
      </c>
      <c r="H12" s="17">
        <f t="shared" si="1"/>
        <v>18637.744454545456</v>
      </c>
    </row>
    <row r="13" spans="1:8" x14ac:dyDescent="0.3">
      <c r="A13" s="22">
        <f t="shared" si="2"/>
        <v>45657</v>
      </c>
      <c r="B13" s="15" t="str">
        <f t="shared" si="0"/>
        <v>Dec 2024</v>
      </c>
      <c r="C13" s="17">
        <f>SUMIFS(Data!$N$2:$N$251,Data!$O$2:$O$251,A13)</f>
        <v>23039.3</v>
      </c>
      <c r="D13" s="15">
        <f>COUNTIFS(Data!$O$2:$O$251,A13)</f>
        <v>25</v>
      </c>
      <c r="E13" s="18">
        <f t="shared" si="3"/>
        <v>0.87167734681675224</v>
      </c>
      <c r="F13" s="15">
        <v>9</v>
      </c>
      <c r="G13" s="15" t="s">
        <v>475</v>
      </c>
      <c r="H13" s="17">
        <f t="shared" si="1"/>
        <v>18976.097090909094</v>
      </c>
    </row>
    <row r="14" spans="1:8" x14ac:dyDescent="0.3">
      <c r="A14" s="22">
        <f t="shared" si="2"/>
        <v>45688</v>
      </c>
      <c r="B14" s="15" t="str">
        <f t="shared" si="0"/>
        <v>Jan 2025</v>
      </c>
      <c r="C14" s="17">
        <f>SUMIFS(Data!$N$2:$N$251,Data!$O$2:$O$251,A14)</f>
        <v>25799.149999999998</v>
      </c>
      <c r="D14" s="15">
        <f>COUNTIFS(Data!$O$2:$O$251,A14)</f>
        <v>26</v>
      </c>
      <c r="E14" s="18">
        <f t="shared" si="3"/>
        <v>0.11978879566653489</v>
      </c>
      <c r="F14" s="15">
        <v>10</v>
      </c>
      <c r="G14" s="15" t="s">
        <v>475</v>
      </c>
      <c r="H14" s="17">
        <f t="shared" si="1"/>
        <v>19314.449727272728</v>
      </c>
    </row>
    <row r="15" spans="1:8" x14ac:dyDescent="0.3">
      <c r="A15" s="22">
        <f t="shared" si="2"/>
        <v>45716</v>
      </c>
      <c r="B15" s="15" t="str">
        <f t="shared" si="0"/>
        <v>Feb 2025</v>
      </c>
      <c r="C15" s="17">
        <f>SUMIFS(Data!$N$2:$N$251,Data!$O$2:$O$251,A15)</f>
        <v>16069.380000000001</v>
      </c>
      <c r="D15" s="15">
        <f>COUNTIFS(Data!$O$2:$O$251,A15)</f>
        <v>20</v>
      </c>
      <c r="E15" s="18">
        <f t="shared" si="3"/>
        <v>-0.37713529321702455</v>
      </c>
      <c r="F15" s="15">
        <v>11</v>
      </c>
      <c r="G15" s="15" t="s">
        <v>475</v>
      </c>
      <c r="H15" s="17">
        <f t="shared" si="1"/>
        <v>19652.802363636365</v>
      </c>
    </row>
    <row r="16" spans="1:8" x14ac:dyDescent="0.3">
      <c r="A16" s="22">
        <f t="shared" si="2"/>
        <v>45747</v>
      </c>
      <c r="B16" s="15" t="str">
        <f t="shared" si="0"/>
        <v>Mar 2025</v>
      </c>
      <c r="C16" s="17">
        <f>SUMIFS(Data!$N$2:$N$251,Data!$O$2:$O$251,A16)</f>
        <v>19899.379999999997</v>
      </c>
      <c r="D16" s="15">
        <f>COUNTIFS(Data!$O$2:$O$251,A16)</f>
        <v>19</v>
      </c>
      <c r="E16" s="18">
        <f t="shared" si="3"/>
        <v>0.23834149170658714</v>
      </c>
      <c r="F16" s="15">
        <v>12</v>
      </c>
      <c r="G16" s="15" t="s">
        <v>475</v>
      </c>
      <c r="H16" s="17">
        <f t="shared" si="1"/>
        <v>19991.155000000002</v>
      </c>
    </row>
    <row r="17" spans="1:8" x14ac:dyDescent="0.3">
      <c r="A17" s="22">
        <f t="shared" si="2"/>
        <v>45777</v>
      </c>
      <c r="B17" s="15" t="str">
        <f t="shared" si="0"/>
        <v>Apr 2025</v>
      </c>
      <c r="C17" s="17">
        <f>SUMIFS(Data!$N$2:$N$251,Data!$O$2:$O$251,A17)</f>
        <v>6979.8300000000008</v>
      </c>
      <c r="D17" s="15">
        <f>COUNTIFS(Data!$O$2:$O$251,A17)</f>
        <v>7</v>
      </c>
      <c r="E17" s="18">
        <f t="shared" si="3"/>
        <v>-0.64924384578816019</v>
      </c>
      <c r="F17" s="15">
        <v>13</v>
      </c>
      <c r="G17" s="15" t="s">
        <v>474</v>
      </c>
      <c r="H17" s="17">
        <f t="shared" si="1"/>
        <v>20329.50763636364</v>
      </c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9" t="s">
        <v>476</v>
      </c>
      <c r="B19" s="15"/>
      <c r="C19" s="15"/>
      <c r="D19" s="15"/>
      <c r="E19" s="15"/>
      <c r="F19" s="1"/>
      <c r="G19" s="1"/>
      <c r="H19" s="1"/>
    </row>
    <row r="20" spans="1:8" x14ac:dyDescent="0.3">
      <c r="A20" s="15" t="s">
        <v>477</v>
      </c>
      <c r="B20" s="26">
        <f>SLOPE(C6:C16,F6:F16)</f>
        <v>338.35263636363646</v>
      </c>
      <c r="C20" s="15"/>
      <c r="D20" s="15"/>
      <c r="E20" s="15"/>
      <c r="F20" s="1"/>
      <c r="G20" s="1"/>
      <c r="H20" s="1"/>
    </row>
    <row r="21" spans="1:8" x14ac:dyDescent="0.3">
      <c r="A21" s="15" t="s">
        <v>478</v>
      </c>
      <c r="B21" s="26">
        <f>INTERCEPT(C6:C16,F6:F16)</f>
        <v>15930.923363636364</v>
      </c>
      <c r="C21" s="15"/>
      <c r="D21" s="15"/>
      <c r="E21" s="15"/>
      <c r="F21" s="1"/>
      <c r="G21" s="1"/>
      <c r="H21" s="1"/>
    </row>
    <row r="22" spans="1:8" x14ac:dyDescent="0.3">
      <c r="A22" s="15" t="s">
        <v>479</v>
      </c>
      <c r="B22" s="46">
        <f>RSQ(C6:C16,F6:F16)</f>
        <v>7.6447365360915204E-2</v>
      </c>
      <c r="C22" s="15"/>
      <c r="D22" s="15"/>
      <c r="E22" s="15"/>
      <c r="F22" s="1"/>
      <c r="G22" s="1"/>
      <c r="H22" s="1"/>
    </row>
    <row r="23" spans="1:8" x14ac:dyDescent="0.3">
      <c r="A23" s="15" t="s">
        <v>480</v>
      </c>
      <c r="B23" s="26">
        <f>STEYX(C6:C16,F6:F16)</f>
        <v>4111.4424636589138</v>
      </c>
      <c r="C23" s="15"/>
      <c r="D23" s="15"/>
      <c r="E23" s="15"/>
      <c r="F23" s="1"/>
      <c r="G23" s="1"/>
      <c r="H23" s="1"/>
    </row>
    <row r="24" spans="1:8" x14ac:dyDescent="0.3">
      <c r="A24" s="15" t="s">
        <v>481</v>
      </c>
      <c r="B24" s="15" t="str">
        <f>IF(B22&lt;0.3,"Weak trend - revenue is mostly seasonal/noisy",IF(B20&gt;0,"Upward trend","Downward trend"))</f>
        <v>Weak trend - revenue is mostly seasonal/noisy</v>
      </c>
      <c r="C24" s="15"/>
      <c r="D24" s="15"/>
      <c r="E24" s="15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ht="26.4" x14ac:dyDescent="0.3">
      <c r="A26" s="24" t="s">
        <v>482</v>
      </c>
      <c r="B26" s="24" t="s">
        <v>483</v>
      </c>
      <c r="C26" s="24" t="s">
        <v>484</v>
      </c>
      <c r="D26" s="1"/>
      <c r="E26" s="1"/>
      <c r="F26" s="1"/>
      <c r="G26" s="1"/>
      <c r="H26" s="1"/>
    </row>
    <row r="27" spans="1:8" x14ac:dyDescent="0.3">
      <c r="A27" s="15" t="str">
        <f>TEXT(EOMONTH($A$17,0),"mmm yyyy")</f>
        <v>Apr 2025</v>
      </c>
      <c r="B27" s="15">
        <v>14</v>
      </c>
      <c r="C27" s="17">
        <f>$B$21+$B$20*B27</f>
        <v>20667.860272727274</v>
      </c>
      <c r="D27" s="1"/>
      <c r="E27" s="1"/>
      <c r="F27" s="1"/>
      <c r="G27" s="1"/>
      <c r="H27" s="1"/>
    </row>
    <row r="28" spans="1:8" x14ac:dyDescent="0.3">
      <c r="A28" s="15" t="str">
        <f>TEXT(EOMONTH($A$17,1),"mmm yyyy")</f>
        <v>May 2025</v>
      </c>
      <c r="B28" s="15">
        <v>15</v>
      </c>
      <c r="C28" s="17">
        <f>$B$21+$B$20*B28</f>
        <v>21006.212909090911</v>
      </c>
      <c r="D28" s="1"/>
      <c r="E28" s="1"/>
      <c r="F28" s="1"/>
      <c r="G28" s="1"/>
      <c r="H28" s="1"/>
    </row>
    <row r="29" spans="1:8" x14ac:dyDescent="0.3">
      <c r="A29" s="15" t="str">
        <f>TEXT(EOMONTH($A$17,2),"mmm yyyy")</f>
        <v>Jun 2025</v>
      </c>
      <c r="B29" s="15">
        <v>16</v>
      </c>
      <c r="C29" s="17">
        <f>$B$21+$B$20*B29</f>
        <v>21344.565545454549</v>
      </c>
      <c r="D29" s="1"/>
      <c r="E29" s="1"/>
      <c r="F29" s="1"/>
      <c r="G29" s="1"/>
      <c r="H29" s="1"/>
    </row>
    <row r="30" spans="1:8" x14ac:dyDescent="0.3">
      <c r="A30" s="2" t="s">
        <v>485</v>
      </c>
      <c r="B30" s="1"/>
      <c r="C30" s="1"/>
      <c r="D30" s="1"/>
      <c r="E30" s="1"/>
      <c r="F30" s="1"/>
      <c r="G30" s="1"/>
      <c r="H30" s="1"/>
    </row>
  </sheetData>
  <mergeCells count="1">
    <mergeCell ref="A1:H1"/>
  </mergeCells>
  <conditionalFormatting sqref="E6:E17">
    <cfRule type="iconSet" priority="2">
      <iconSet iconSet="3Arrows">
        <cfvo type="num" val="-1000"/>
        <cfvo type="num" val="-1E-4"/>
        <cfvo type="num" val="1E-4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zoomScaleNormal="100" workbookViewId="0">
      <selection activeCell="A19" sqref="A19:F19"/>
    </sheetView>
  </sheetViews>
  <sheetFormatPr defaultColWidth="8.6640625" defaultRowHeight="14.4" x14ac:dyDescent="0.3"/>
  <cols>
    <col min="1" max="1" width="44" customWidth="1"/>
    <col min="2" max="2" width="14" customWidth="1"/>
    <col min="3" max="4" width="12" customWidth="1"/>
    <col min="5" max="5" width="14" customWidth="1"/>
    <col min="6" max="6" width="10" customWidth="1"/>
  </cols>
  <sheetData>
    <row r="1" spans="1:7" ht="21" x14ac:dyDescent="0.4">
      <c r="A1" s="14" t="s">
        <v>486</v>
      </c>
      <c r="B1" s="14"/>
      <c r="C1" s="14"/>
      <c r="D1" s="14"/>
      <c r="E1" s="14"/>
      <c r="F1" s="14"/>
      <c r="G1" s="14"/>
    </row>
    <row r="2" spans="1:7" x14ac:dyDescent="0.3">
      <c r="A2" s="1"/>
      <c r="B2" s="1"/>
      <c r="C2" s="1"/>
      <c r="D2" s="1"/>
      <c r="E2" s="1"/>
      <c r="F2" s="1"/>
    </row>
    <row r="3" spans="1:7" x14ac:dyDescent="0.3">
      <c r="A3" s="19" t="s">
        <v>487</v>
      </c>
      <c r="B3" s="15"/>
      <c r="C3" s="1"/>
      <c r="D3" s="1"/>
      <c r="E3" s="1"/>
      <c r="F3" s="1"/>
    </row>
    <row r="4" spans="1:7" x14ac:dyDescent="0.3">
      <c r="A4" s="15" t="s">
        <v>488</v>
      </c>
      <c r="B4" s="20">
        <v>0</v>
      </c>
      <c r="C4" s="1"/>
      <c r="D4" s="1"/>
      <c r="E4" s="1"/>
      <c r="F4" s="1"/>
    </row>
    <row r="5" spans="1:7" x14ac:dyDescent="0.3">
      <c r="A5" s="15" t="s">
        <v>489</v>
      </c>
      <c r="B5" s="20">
        <v>0</v>
      </c>
      <c r="C5" s="1"/>
      <c r="D5" s="1"/>
      <c r="E5" s="1"/>
      <c r="F5" s="1"/>
    </row>
    <row r="6" spans="1:7" x14ac:dyDescent="0.3">
      <c r="A6" s="15" t="s">
        <v>490</v>
      </c>
      <c r="B6" s="20">
        <v>0</v>
      </c>
      <c r="C6" s="1"/>
      <c r="D6" s="1"/>
      <c r="E6" s="1"/>
      <c r="F6" s="1"/>
    </row>
    <row r="7" spans="1:7" x14ac:dyDescent="0.3">
      <c r="A7" s="15"/>
      <c r="B7" s="15"/>
      <c r="C7" s="1"/>
      <c r="D7" s="1"/>
      <c r="E7" s="1"/>
      <c r="F7" s="1"/>
    </row>
    <row r="8" spans="1:7" x14ac:dyDescent="0.3">
      <c r="A8" s="15" t="s">
        <v>491</v>
      </c>
      <c r="B8" s="17">
        <f>SUM(Data!$N$2:$N$251)</f>
        <v>229192.47000000032</v>
      </c>
      <c r="C8" s="1"/>
      <c r="D8" s="1"/>
      <c r="E8" s="1"/>
      <c r="F8" s="1"/>
    </row>
    <row r="9" spans="1:7" x14ac:dyDescent="0.3">
      <c r="A9" s="15" t="s">
        <v>492</v>
      </c>
      <c r="B9" s="17">
        <f>B8*(1+B4)*(1+B5)*(1-B6)</f>
        <v>229192.47000000032</v>
      </c>
      <c r="C9" s="1"/>
      <c r="D9" s="1"/>
      <c r="E9" s="1"/>
      <c r="F9" s="1"/>
    </row>
    <row r="10" spans="1:7" x14ac:dyDescent="0.3">
      <c r="A10" s="21" t="s">
        <v>493</v>
      </c>
      <c r="B10" s="17">
        <f>B9-B8</f>
        <v>0</v>
      </c>
      <c r="C10" s="1"/>
      <c r="D10" s="1"/>
      <c r="E10" s="1"/>
      <c r="F10" s="1"/>
    </row>
    <row r="11" spans="1:7" x14ac:dyDescent="0.3">
      <c r="A11" s="15" t="s">
        <v>494</v>
      </c>
      <c r="B11" s="18">
        <f>B9/B8-1</f>
        <v>0</v>
      </c>
      <c r="C11" s="1"/>
      <c r="D11" s="1"/>
      <c r="E11" s="1"/>
      <c r="F11" s="1"/>
    </row>
    <row r="12" spans="1:7" x14ac:dyDescent="0.3">
      <c r="A12" s="1"/>
      <c r="B12" s="1"/>
      <c r="C12" s="1"/>
      <c r="D12" s="1"/>
      <c r="E12" s="1"/>
      <c r="F12" s="1"/>
    </row>
    <row r="13" spans="1:7" x14ac:dyDescent="0.3">
      <c r="A13" s="5" t="s">
        <v>495</v>
      </c>
      <c r="B13" s="1"/>
      <c r="C13" s="1"/>
      <c r="D13" s="1"/>
      <c r="E13" s="1"/>
      <c r="F13" s="1"/>
    </row>
    <row r="14" spans="1:7" x14ac:dyDescent="0.3">
      <c r="A14" s="1" t="s">
        <v>496</v>
      </c>
      <c r="B14" s="4">
        <v>250000</v>
      </c>
      <c r="C14" s="1" t="s">
        <v>497</v>
      </c>
      <c r="D14" s="1"/>
      <c r="E14" s="1"/>
      <c r="F14" s="1"/>
    </row>
    <row r="15" spans="1:7" x14ac:dyDescent="0.3">
      <c r="A15" s="1" t="s">
        <v>498</v>
      </c>
      <c r="B15" s="1"/>
      <c r="C15" s="1"/>
      <c r="D15" s="1"/>
      <c r="E15" s="1"/>
      <c r="F15" s="1"/>
    </row>
    <row r="16" spans="1:7" x14ac:dyDescent="0.3">
      <c r="A16" s="1" t="s">
        <v>499</v>
      </c>
      <c r="B16" s="10">
        <f>B14/(B8*(1+B5)*(1-B6))-1</f>
        <v>9.0786272341319307E-2</v>
      </c>
      <c r="C16" s="1"/>
      <c r="D16" s="1"/>
      <c r="E16" s="1"/>
      <c r="F16" s="1"/>
    </row>
    <row r="17" spans="1:6" x14ac:dyDescent="0.3">
      <c r="A17" s="1"/>
      <c r="B17" s="1"/>
      <c r="C17" s="1"/>
      <c r="D17" s="1"/>
      <c r="E17" s="1"/>
      <c r="F17" s="1"/>
    </row>
    <row r="18" spans="1:6" x14ac:dyDescent="0.3">
      <c r="A18" s="5" t="s">
        <v>500</v>
      </c>
      <c r="B18" s="1"/>
      <c r="C18" s="1"/>
      <c r="D18" s="1"/>
      <c r="E18" s="1"/>
      <c r="F18" s="1"/>
    </row>
    <row r="19" spans="1:6" x14ac:dyDescent="0.3">
      <c r="A19" s="24" t="s">
        <v>501</v>
      </c>
      <c r="B19" s="24" t="s">
        <v>502</v>
      </c>
      <c r="C19" s="24" t="s">
        <v>503</v>
      </c>
      <c r="D19" s="24" t="s">
        <v>490</v>
      </c>
      <c r="E19" s="24" t="s">
        <v>440</v>
      </c>
      <c r="F19" s="24" t="s">
        <v>504</v>
      </c>
    </row>
    <row r="20" spans="1:6" x14ac:dyDescent="0.3">
      <c r="A20" s="15" t="s">
        <v>505</v>
      </c>
      <c r="B20" s="16">
        <v>0</v>
      </c>
      <c r="C20" s="16">
        <v>0</v>
      </c>
      <c r="D20" s="16">
        <v>0</v>
      </c>
      <c r="E20" s="17">
        <f>$B$8*(1+B20)*(1+C20)*(1-D20)</f>
        <v>229192.47000000032</v>
      </c>
      <c r="F20" s="18">
        <f>E20/$B$8-1</f>
        <v>0</v>
      </c>
    </row>
    <row r="21" spans="1:6" x14ac:dyDescent="0.3">
      <c r="A21" s="15" t="s">
        <v>506</v>
      </c>
      <c r="B21" s="16">
        <v>0.05</v>
      </c>
      <c r="C21" s="16">
        <v>0.1</v>
      </c>
      <c r="D21" s="16">
        <v>0</v>
      </c>
      <c r="E21" s="17">
        <f>$B$8*(1+B21)*(1+C21)*(1-D21)</f>
        <v>264717.30285000039</v>
      </c>
      <c r="F21" s="18">
        <f>E21/$B$8-1</f>
        <v>0.15500000000000003</v>
      </c>
    </row>
    <row r="22" spans="1:6" x14ac:dyDescent="0.3">
      <c r="A22" s="15" t="s">
        <v>507</v>
      </c>
      <c r="B22" s="16">
        <v>0</v>
      </c>
      <c r="C22" s="16">
        <v>-0.1</v>
      </c>
      <c r="D22" s="16">
        <v>0.05</v>
      </c>
      <c r="E22" s="17">
        <f>$B$8*(1+B22)*(1+C22)*(1-D22)</f>
        <v>195959.56185000026</v>
      </c>
      <c r="F22" s="18">
        <f>E22/$B$8-1</f>
        <v>-0.14500000000000002</v>
      </c>
    </row>
    <row r="23" spans="1:6" x14ac:dyDescent="0.3">
      <c r="A23" s="15" t="s">
        <v>508</v>
      </c>
      <c r="B23" s="16">
        <v>-0.05</v>
      </c>
      <c r="C23" s="16">
        <v>0.2</v>
      </c>
      <c r="D23" s="16">
        <v>0</v>
      </c>
      <c r="E23" s="17">
        <f>$B$8*(1+B23)*(1+C23)*(1-D23)</f>
        <v>261279.41580000037</v>
      </c>
      <c r="F23" s="18">
        <f>E23/$B$8-1</f>
        <v>0.1399999999999999</v>
      </c>
    </row>
  </sheetData>
  <mergeCells count="1">
    <mergeCell ref="A1:G1"/>
  </mergeCells>
  <conditionalFormatting sqref="F20:F23">
    <cfRule type="iconSet" priority="2">
      <iconSet iconSet="3Arrows">
        <cfvo type="num" val="-1"/>
        <cfvo type="num" val="-1E-4"/>
        <cfvo type="num" val="1E-4"/>
      </iconSet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10"/>
  <sheetViews>
    <sheetView tabSelected="1" topLeftCell="A10" zoomScaleNormal="100" workbookViewId="0">
      <selection activeCell="L22" sqref="L22"/>
    </sheetView>
  </sheetViews>
  <sheetFormatPr defaultColWidth="8.6640625" defaultRowHeight="14.4" x14ac:dyDescent="0.3"/>
  <cols>
    <col min="1" max="1" width="30" customWidth="1"/>
    <col min="2" max="2" width="14" customWidth="1"/>
    <col min="3" max="4" width="12" customWidth="1"/>
    <col min="5" max="5" width="3" customWidth="1"/>
    <col min="6" max="6" width="22" customWidth="1"/>
    <col min="7" max="7" width="20" customWidth="1"/>
    <col min="8" max="8" width="10" customWidth="1"/>
  </cols>
  <sheetData>
    <row r="1" spans="1:10" ht="21" x14ac:dyDescent="0.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">
      <c r="A2" s="1"/>
      <c r="B2" s="1"/>
      <c r="C2" s="1"/>
      <c r="D2" s="1"/>
      <c r="E2" s="1"/>
      <c r="F2" s="1"/>
      <c r="G2" s="1"/>
      <c r="H2" s="1"/>
    </row>
    <row r="3" spans="1:10" x14ac:dyDescent="0.3">
      <c r="A3" s="24" t="s">
        <v>1</v>
      </c>
      <c r="B3" s="24" t="s">
        <v>2</v>
      </c>
      <c r="C3" s="24" t="s">
        <v>3</v>
      </c>
      <c r="D3" s="24" t="s">
        <v>4</v>
      </c>
      <c r="E3" s="1"/>
      <c r="F3" s="25" t="s">
        <v>5</v>
      </c>
      <c r="G3" s="25"/>
      <c r="H3" s="25"/>
    </row>
    <row r="4" spans="1:10" x14ac:dyDescent="0.3">
      <c r="A4" s="15" t="s">
        <v>6</v>
      </c>
      <c r="B4" s="17">
        <f>SUM(Data!$N$2:$N$251)</f>
        <v>229192.47000000032</v>
      </c>
      <c r="C4" s="41">
        <v>200000</v>
      </c>
      <c r="D4" s="42">
        <f t="shared" ref="D4:D9" si="0">B4/C4</f>
        <v>1.1459623500000016</v>
      </c>
      <c r="E4" s="1"/>
      <c r="F4" s="19" t="s">
        <v>7</v>
      </c>
      <c r="G4" s="15" t="str">
        <f>Customers!S6</f>
        <v>Mark Carter</v>
      </c>
      <c r="H4" s="1"/>
    </row>
    <row r="5" spans="1:10" x14ac:dyDescent="0.3">
      <c r="A5" s="15" t="s">
        <v>8</v>
      </c>
      <c r="B5" s="43">
        <f>COUNTA(Data!$A$2:$A$251)</f>
        <v>250</v>
      </c>
      <c r="C5" s="44">
        <v>250</v>
      </c>
      <c r="D5" s="42">
        <f t="shared" si="0"/>
        <v>1</v>
      </c>
      <c r="E5" s="1"/>
      <c r="F5" s="19" t="s">
        <v>9</v>
      </c>
      <c r="G5" s="15" t="str">
        <f>Customers!D57</f>
        <v>Mark Carter</v>
      </c>
      <c r="H5" s="1"/>
    </row>
    <row r="6" spans="1:10" x14ac:dyDescent="0.3">
      <c r="A6" s="15" t="s">
        <v>10</v>
      </c>
      <c r="B6" s="43">
        <f>SUM(Data!$H$2:$H$251)</f>
        <v>753</v>
      </c>
      <c r="C6" s="44">
        <v>700</v>
      </c>
      <c r="D6" s="42">
        <f t="shared" si="0"/>
        <v>1.0757142857142856</v>
      </c>
      <c r="E6" s="1"/>
      <c r="F6" s="19" t="s">
        <v>11</v>
      </c>
      <c r="G6" s="15" t="str">
        <f>Analysis!E15</f>
        <v>Bookshelf</v>
      </c>
      <c r="H6" s="1"/>
    </row>
    <row r="7" spans="1:10" x14ac:dyDescent="0.3">
      <c r="A7" s="15" t="s">
        <v>12</v>
      </c>
      <c r="B7" s="17">
        <f>B4/B5</f>
        <v>916.76988000000131</v>
      </c>
      <c r="C7" s="41">
        <v>800</v>
      </c>
      <c r="D7" s="42">
        <f t="shared" si="0"/>
        <v>1.1459623500000016</v>
      </c>
      <c r="E7" s="1"/>
      <c r="F7" s="19" t="s">
        <v>13</v>
      </c>
      <c r="G7" s="15" t="str">
        <f>Analysis!E17</f>
        <v>Laptop</v>
      </c>
      <c r="H7" s="1"/>
    </row>
    <row r="8" spans="1:10" x14ac:dyDescent="0.3">
      <c r="A8" s="15" t="s">
        <v>14</v>
      </c>
      <c r="B8" s="43">
        <f>COUNTIF(Customers!D6:D55,"&gt;0")</f>
        <v>50</v>
      </c>
      <c r="C8" s="44">
        <v>50</v>
      </c>
      <c r="D8" s="42">
        <f t="shared" si="0"/>
        <v>1</v>
      </c>
      <c r="E8" s="1"/>
      <c r="F8" s="19" t="s">
        <v>15</v>
      </c>
      <c r="G8" s="15" t="str">
        <f>INDEX(Analysis!A27:A31,MATCH(MAX(Analysis!C27:C31),Analysis!C27:C31,0))</f>
        <v>East</v>
      </c>
      <c r="H8" s="1"/>
    </row>
    <row r="9" spans="1:10" x14ac:dyDescent="0.3">
      <c r="A9" s="15" t="s">
        <v>16</v>
      </c>
      <c r="B9" s="18">
        <f>Customers!D59</f>
        <v>0.40955821977921003</v>
      </c>
      <c r="C9" s="20">
        <v>0.5</v>
      </c>
      <c r="D9" s="42">
        <f t="shared" si="0"/>
        <v>0.81911643955842006</v>
      </c>
      <c r="E9" s="1"/>
      <c r="F9" s="19" t="s">
        <v>17</v>
      </c>
      <c r="G9" s="15" t="str">
        <f>INDEX(Monthly_Trend!B5:B17,MATCH(MAX(Monthly_Trend!C6:C16),Monthly_Trend!C6:C16,0)+1)</f>
        <v>Jan 2025</v>
      </c>
      <c r="H9" s="1"/>
    </row>
    <row r="10" spans="1:10" x14ac:dyDescent="0.3">
      <c r="A10" s="1"/>
      <c r="B10" s="1"/>
      <c r="C10" s="1"/>
      <c r="D10" s="1"/>
      <c r="E10" s="1"/>
      <c r="F10" s="19" t="s">
        <v>18</v>
      </c>
      <c r="G10" s="45">
        <f ca="1">NOW()</f>
        <v>46325.373892129632</v>
      </c>
      <c r="H10" s="1"/>
    </row>
  </sheetData>
  <mergeCells count="1">
    <mergeCell ref="A1:J1"/>
  </mergeCells>
  <conditionalFormatting sqref="D4:D9">
    <cfRule type="iconSet" priority="2">
      <iconSet>
        <cfvo type="num" val="0"/>
        <cfvo type="num" val="0.8"/>
        <cfvo type="num" val="1"/>
      </iconSet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0"/>
  <sheetViews>
    <sheetView zoomScaleNormal="100" workbookViewId="0">
      <selection activeCell="M3" sqref="M3"/>
    </sheetView>
  </sheetViews>
  <sheetFormatPr defaultColWidth="8.6640625" defaultRowHeight="14.4" x14ac:dyDescent="0.3"/>
  <cols>
    <col min="1" max="3" width="24" customWidth="1"/>
    <col min="4" max="4" width="14" customWidth="1"/>
    <col min="5" max="5" width="3" customWidth="1"/>
    <col min="6" max="6" width="16" customWidth="1"/>
    <col min="7" max="7" width="10" customWidth="1"/>
    <col min="8" max="8" width="3" customWidth="1"/>
    <col min="9" max="9" width="21.77734375" style="52" bestFit="1" customWidth="1"/>
    <col min="10" max="10" width="13" customWidth="1"/>
    <col min="11" max="11" width="12" customWidth="1"/>
    <col min="12" max="12" width="18" customWidth="1"/>
    <col min="13" max="13" width="14" customWidth="1"/>
    <col min="14" max="14" width="12" customWidth="1"/>
  </cols>
  <sheetData>
    <row r="1" spans="1:14" ht="21" x14ac:dyDescent="0.4">
      <c r="A1" s="14" t="s">
        <v>520</v>
      </c>
      <c r="B1" s="14"/>
      <c r="C1" s="14"/>
      <c r="D1" s="14"/>
      <c r="E1" s="1"/>
      <c r="F1" s="1"/>
      <c r="G1" s="1"/>
      <c r="H1" s="1"/>
      <c r="I1" s="48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48"/>
      <c r="J2" s="1"/>
      <c r="K2" s="1"/>
      <c r="L2" s="1"/>
      <c r="M2" s="1"/>
      <c r="N2" s="1"/>
    </row>
    <row r="3" spans="1:14" ht="26.4" x14ac:dyDescent="0.3">
      <c r="A3" s="24" t="s">
        <v>521</v>
      </c>
      <c r="B3" s="24" t="s">
        <v>522</v>
      </c>
      <c r="C3" s="24" t="s">
        <v>523</v>
      </c>
      <c r="D3" s="24" t="s">
        <v>524</v>
      </c>
      <c r="E3" s="1"/>
      <c r="F3" s="1" t="s">
        <v>525</v>
      </c>
      <c r="G3" s="1">
        <f>COUNTIF(C4:C47,"?*")</f>
        <v>34</v>
      </c>
      <c r="H3" s="1"/>
      <c r="I3" s="49" t="s">
        <v>526</v>
      </c>
      <c r="J3" s="15"/>
      <c r="K3" s="1"/>
      <c r="L3" s="1"/>
      <c r="M3" s="1"/>
      <c r="N3" s="1"/>
    </row>
    <row r="4" spans="1:14" x14ac:dyDescent="0.3">
      <c r="A4" s="15" t="s">
        <v>361</v>
      </c>
      <c r="B4" s="15" t="s">
        <v>361</v>
      </c>
      <c r="C4" s="15" t="str">
        <f t="shared" ref="C4:C47" si="0">IF(COUNTIF($B$4:$B$40,A4)&gt;0,A4,"")</f>
        <v>Arthur Edwards</v>
      </c>
      <c r="D4" s="15" t="str">
        <f t="shared" ref="D4:D47" si="1">IF(C4="","",UPPER(LEFT(C4,1))&amp;UPPER(MID(C4,FIND(" ",C4)+1,1)))</f>
        <v>AE</v>
      </c>
      <c r="E4" s="1"/>
      <c r="F4" s="1" t="s">
        <v>527</v>
      </c>
      <c r="G4" s="1">
        <f>COUNTA(A4:A47)-G3</f>
        <v>9</v>
      </c>
      <c r="H4" s="1"/>
      <c r="I4" s="50" t="s">
        <v>39</v>
      </c>
      <c r="J4" s="47" t="s">
        <v>75</v>
      </c>
      <c r="K4" s="1"/>
      <c r="L4" s="1"/>
      <c r="M4" s="1"/>
      <c r="N4" s="1"/>
    </row>
    <row r="5" spans="1:14" x14ac:dyDescent="0.3">
      <c r="A5" s="15" t="s">
        <v>132</v>
      </c>
      <c r="B5" s="15" t="s">
        <v>193</v>
      </c>
      <c r="C5" s="15" t="str">
        <f t="shared" si="0"/>
        <v/>
      </c>
      <c r="D5" s="15" t="str">
        <f t="shared" si="1"/>
        <v/>
      </c>
      <c r="E5" s="1"/>
      <c r="F5" s="1" t="s">
        <v>528</v>
      </c>
      <c r="G5" s="1">
        <f>COUNTA(B4:B40)-G3</f>
        <v>3</v>
      </c>
      <c r="H5" s="1"/>
      <c r="I5" s="50" t="s">
        <v>35</v>
      </c>
      <c r="J5" s="47" t="s">
        <v>54</v>
      </c>
      <c r="K5" s="1"/>
      <c r="L5" s="1"/>
      <c r="M5" s="1"/>
      <c r="N5" s="1"/>
    </row>
    <row r="6" spans="1:14" x14ac:dyDescent="0.3">
      <c r="A6" s="15" t="s">
        <v>193</v>
      </c>
      <c r="B6" s="15" t="s">
        <v>267</v>
      </c>
      <c r="C6" s="15" t="str">
        <f t="shared" si="0"/>
        <v>Betty Campbell</v>
      </c>
      <c r="D6" s="15" t="str">
        <f t="shared" si="1"/>
        <v>BC</v>
      </c>
      <c r="E6" s="1"/>
      <c r="F6" s="1"/>
      <c r="G6" s="1"/>
      <c r="H6" s="1"/>
      <c r="I6" s="50" t="s">
        <v>529</v>
      </c>
      <c r="J6" s="15">
        <f>SUMPRODUCT((Data!$K$2:$K$251=J4)*(Data!$G$2:$G$251=J5))</f>
        <v>36</v>
      </c>
      <c r="K6" s="1"/>
      <c r="L6" s="1"/>
      <c r="M6" s="1"/>
      <c r="N6" s="1"/>
    </row>
    <row r="7" spans="1:14" x14ac:dyDescent="0.3">
      <c r="A7" s="15" t="s">
        <v>267</v>
      </c>
      <c r="B7" s="15" t="s">
        <v>91</v>
      </c>
      <c r="C7" s="15" t="str">
        <f t="shared" si="0"/>
        <v>Carol Evans</v>
      </c>
      <c r="D7" s="15" t="str">
        <f t="shared" si="1"/>
        <v>CE</v>
      </c>
      <c r="E7" s="1"/>
      <c r="F7" s="1"/>
      <c r="G7" s="1"/>
      <c r="H7" s="1"/>
      <c r="I7" s="50" t="s">
        <v>530</v>
      </c>
      <c r="J7" s="17">
        <f>SUMIFS(Data!$N$2:$N$251,Data!$K$2:$K$251,J4,Data!$G$2:$G$251,J5)</f>
        <v>39239.040000000015</v>
      </c>
      <c r="K7" s="1"/>
      <c r="L7" s="1"/>
      <c r="M7" s="1"/>
      <c r="N7" s="1"/>
    </row>
    <row r="8" spans="1:14" x14ac:dyDescent="0.3">
      <c r="A8" s="15" t="s">
        <v>91</v>
      </c>
      <c r="B8" s="15" t="s">
        <v>138</v>
      </c>
      <c r="C8" s="15" t="str">
        <f t="shared" si="0"/>
        <v>Charles Allen</v>
      </c>
      <c r="D8" s="15" t="str">
        <f t="shared" si="1"/>
        <v>CA</v>
      </c>
      <c r="E8" s="1"/>
      <c r="F8" s="1"/>
      <c r="G8" s="1"/>
      <c r="H8" s="1"/>
      <c r="I8" s="51"/>
      <c r="J8" s="1"/>
      <c r="K8" s="1"/>
      <c r="L8" s="1"/>
      <c r="M8" s="1"/>
      <c r="N8" s="1"/>
    </row>
    <row r="9" spans="1:14" x14ac:dyDescent="0.3">
      <c r="A9" s="15" t="s">
        <v>138</v>
      </c>
      <c r="B9" s="15" t="s">
        <v>183</v>
      </c>
      <c r="C9" s="15" t="str">
        <f t="shared" si="0"/>
        <v>Cynthia Price</v>
      </c>
      <c r="D9" s="15" t="str">
        <f t="shared" si="1"/>
        <v>CP</v>
      </c>
      <c r="E9" s="1"/>
      <c r="F9" s="1"/>
      <c r="G9" s="1"/>
      <c r="H9" s="1"/>
      <c r="I9" s="48"/>
      <c r="J9" s="1"/>
      <c r="K9" s="1"/>
      <c r="L9" s="1"/>
      <c r="M9" s="1"/>
      <c r="N9" s="1"/>
    </row>
    <row r="10" spans="1:14" x14ac:dyDescent="0.3">
      <c r="A10" s="15" t="s">
        <v>183</v>
      </c>
      <c r="B10" s="15" t="s">
        <v>218</v>
      </c>
      <c r="C10" s="15" t="str">
        <f t="shared" si="0"/>
        <v>Daniel King</v>
      </c>
      <c r="D10" s="15" t="str">
        <f t="shared" si="1"/>
        <v>DK</v>
      </c>
      <c r="E10" s="1"/>
      <c r="F10" s="1"/>
      <c r="G10" s="1"/>
      <c r="H10" s="1"/>
      <c r="I10" s="23" t="s">
        <v>531</v>
      </c>
      <c r="J10" s="23" t="s">
        <v>532</v>
      </c>
      <c r="K10" s="23" t="s">
        <v>30</v>
      </c>
      <c r="L10" s="23" t="s">
        <v>451</v>
      </c>
      <c r="M10" s="23" t="s">
        <v>458</v>
      </c>
      <c r="N10" s="23" t="s">
        <v>533</v>
      </c>
    </row>
    <row r="11" spans="1:14" x14ac:dyDescent="0.3">
      <c r="A11" s="15" t="s">
        <v>218</v>
      </c>
      <c r="B11" s="15" t="s">
        <v>84</v>
      </c>
      <c r="C11" s="15" t="str">
        <f t="shared" si="0"/>
        <v>David Martinez</v>
      </c>
      <c r="D11" s="15" t="str">
        <f t="shared" si="1"/>
        <v>DM</v>
      </c>
      <c r="E11" s="1"/>
      <c r="F11" s="1"/>
      <c r="G11" s="1"/>
      <c r="H11" s="1"/>
      <c r="I11" s="50">
        <v>1</v>
      </c>
      <c r="J11" s="15" t="str">
        <f>IF(IFERROR(MATCH(I11,Data!$T$2:$T$251,0),"")="","",INDEX(Data!$A$2:$A$251,IFERROR(MATCH(I11,Data!$T$2:$T$251,0),"")))</f>
        <v>TRX0230</v>
      </c>
      <c r="K11" s="22">
        <f>IF(IFERROR(MATCH(I11,Data!$T$2:$T$251,0),"")="","",INDEX(Data!$B$2:$B$251,IFERROR(MATCH(I11,Data!$T$2:$T$251,0),"")))</f>
        <v>45409</v>
      </c>
      <c r="L11" s="15" t="str">
        <f>IF(IFERROR(MATCH(I11,Data!$T$2:$T$251,0),"")="","",INDEX(Data!$D$2:$D$251,IFERROR(MATCH(I11,Data!$T$2:$T$251,0),"")))</f>
        <v>George Adams</v>
      </c>
      <c r="M11" s="15" t="str">
        <f>IF(IFERROR(MATCH(I11,Data!$T$2:$T$251,0),"")="","",INDEX(Data!$F$2:$F$251,IFERROR(MATCH(I11,Data!$T$2:$T$251,0),"")))</f>
        <v>Laptop</v>
      </c>
      <c r="N11" s="26">
        <f>IF(IFERROR(MATCH(I11,Data!$T$2:$T$251,0),"")="","",INDEX(Data!$N$2:$N$251,IFERROR(MATCH(I11,Data!$T$2:$T$251,0),"")))</f>
        <v>899.99</v>
      </c>
    </row>
    <row r="12" spans="1:14" x14ac:dyDescent="0.3">
      <c r="A12" s="15" t="s">
        <v>84</v>
      </c>
      <c r="B12" s="15" t="s">
        <v>162</v>
      </c>
      <c r="C12" s="15" t="str">
        <f t="shared" si="0"/>
        <v>Dorothy Nelson</v>
      </c>
      <c r="D12" s="15" t="str">
        <f t="shared" si="1"/>
        <v>DN</v>
      </c>
      <c r="E12" s="1"/>
      <c r="F12" s="1"/>
      <c r="G12" s="1"/>
      <c r="H12" s="1"/>
      <c r="I12" s="50">
        <v>2</v>
      </c>
      <c r="J12" s="15" t="str">
        <f>IF(IFERROR(MATCH(I12,Data!$T$2:$T$251,0),"")="","",INDEX(Data!$A$2:$A$251,IFERROR(MATCH(I12,Data!$T$2:$T$251,0),"")))</f>
        <v>TRX0134</v>
      </c>
      <c r="K12" s="22">
        <f>IF(IFERROR(MATCH(I12,Data!$T$2:$T$251,0),"")="","",INDEX(Data!$B$2:$B$251,IFERROR(MATCH(I12,Data!$T$2:$T$251,0),"")))</f>
        <v>45410</v>
      </c>
      <c r="L12" s="15" t="str">
        <f>IF(IFERROR(MATCH(I12,Data!$T$2:$T$251,0),"")="","",INDEX(Data!$D$2:$D$251,IFERROR(MATCH(I12,Data!$T$2:$T$251,0),"")))</f>
        <v>Maria Garcia</v>
      </c>
      <c r="M12" s="15" t="str">
        <f>IF(IFERROR(MATCH(I12,Data!$T$2:$T$251,0),"")="","",INDEX(Data!$F$2:$F$251,IFERROR(MATCH(I12,Data!$T$2:$T$251,0),"")))</f>
        <v>Smartphone</v>
      </c>
      <c r="N12" s="26">
        <f>IF(IFERROR(MATCH(I12,Data!$T$2:$T$251,0),"")="","",INDEX(Data!$N$2:$N$251,IFERROR(MATCH(I12,Data!$T$2:$T$251,0),"")))</f>
        <v>1399.98</v>
      </c>
    </row>
    <row r="13" spans="1:14" x14ac:dyDescent="0.3">
      <c r="A13" s="15" t="s">
        <v>329</v>
      </c>
      <c r="B13" s="15" t="s">
        <v>247</v>
      </c>
      <c r="C13" s="15" t="str">
        <f t="shared" si="0"/>
        <v/>
      </c>
      <c r="D13" s="15" t="str">
        <f t="shared" si="1"/>
        <v/>
      </c>
      <c r="E13" s="1"/>
      <c r="F13" s="1"/>
      <c r="G13" s="1"/>
      <c r="H13" s="1"/>
      <c r="I13" s="50">
        <v>3</v>
      </c>
      <c r="J13" s="15" t="str">
        <f>IF(IFERROR(MATCH(I13,Data!$T$2:$T$251,0),"")="","",INDEX(Data!$A$2:$A$251,IFERROR(MATCH(I13,Data!$T$2:$T$251,0),"")))</f>
        <v>TRX0222</v>
      </c>
      <c r="K13" s="22">
        <f>IF(IFERROR(MATCH(I13,Data!$T$2:$T$251,0),"")="","",INDEX(Data!$B$2:$B$251,IFERROR(MATCH(I13,Data!$T$2:$T$251,0),"")))</f>
        <v>45410</v>
      </c>
      <c r="L13" s="15" t="str">
        <f>IF(IFERROR(MATCH(I13,Data!$T$2:$T$251,0),"")="","",INDEX(Data!$D$2:$D$251,IFERROR(MATCH(I13,Data!$T$2:$T$251,0),"")))</f>
        <v>Virginia Sanders</v>
      </c>
      <c r="M13" s="15" t="str">
        <f>IF(IFERROR(MATCH(I13,Data!$T$2:$T$251,0),"")="","",INDEX(Data!$F$2:$F$251,IFERROR(MATCH(I13,Data!$T$2:$T$251,0),"")))</f>
        <v>Monitor</v>
      </c>
      <c r="N13" s="26">
        <f>IF(IFERROR(MATCH(I13,Data!$T$2:$T$251,0),"")="","",INDEX(Data!$N$2:$N$251,IFERROR(MATCH(I13,Data!$T$2:$T$251,0),"")))</f>
        <v>749.97</v>
      </c>
    </row>
    <row r="14" spans="1:14" x14ac:dyDescent="0.3">
      <c r="A14" s="15" t="s">
        <v>162</v>
      </c>
      <c r="B14" s="15" t="s">
        <v>168</v>
      </c>
      <c r="C14" s="15" t="str">
        <f t="shared" si="0"/>
        <v>Edward Mitchell</v>
      </c>
      <c r="D14" s="15" t="str">
        <f t="shared" si="1"/>
        <v>EM</v>
      </c>
      <c r="E14" s="1"/>
      <c r="F14" s="1"/>
      <c r="G14" s="1"/>
      <c r="H14" s="1"/>
      <c r="I14" s="50">
        <v>4</v>
      </c>
      <c r="J14" s="15" t="str">
        <f>IF(IFERROR(MATCH(I14,Data!$T$2:$T$251,0),"")="","",INDEX(Data!$A$2:$A$251,IFERROR(MATCH(I14,Data!$T$2:$T$251,0),"")))</f>
        <v>TRX0204</v>
      </c>
      <c r="K14" s="22">
        <f>IF(IFERROR(MATCH(I14,Data!$T$2:$T$251,0),"")="","",INDEX(Data!$B$2:$B$251,IFERROR(MATCH(I14,Data!$T$2:$T$251,0),"")))</f>
        <v>45415</v>
      </c>
      <c r="L14" s="15" t="str">
        <f>IF(IFERROR(MATCH(I14,Data!$T$2:$T$251,0),"")="","",INDEX(Data!$D$2:$D$251,IFERROR(MATCH(I14,Data!$T$2:$T$251,0),"")))</f>
        <v>Cynthia Price</v>
      </c>
      <c r="M14" s="15" t="str">
        <f>IF(IFERROR(MATCH(I14,Data!$T$2:$T$251,0),"")="","",INDEX(Data!$F$2:$F$251,IFERROR(MATCH(I14,Data!$T$2:$T$251,0),"")))</f>
        <v>Monitor</v>
      </c>
      <c r="N14" s="26">
        <f>IF(IFERROR(MATCH(I14,Data!$T$2:$T$251,0),"")="","",INDEX(Data!$N$2:$N$251,IFERROR(MATCH(I14,Data!$T$2:$T$251,0),"")))</f>
        <v>999.96</v>
      </c>
    </row>
    <row r="15" spans="1:14" x14ac:dyDescent="0.3">
      <c r="A15" s="15" t="s">
        <v>247</v>
      </c>
      <c r="B15" s="15" t="s">
        <v>228</v>
      </c>
      <c r="C15" s="15" t="str">
        <f t="shared" si="0"/>
        <v>Elizabeth Hall</v>
      </c>
      <c r="D15" s="15" t="str">
        <f t="shared" si="1"/>
        <v>EH</v>
      </c>
      <c r="E15" s="1"/>
      <c r="F15" s="1"/>
      <c r="G15" s="1"/>
      <c r="H15" s="1"/>
      <c r="I15" s="50">
        <v>5</v>
      </c>
      <c r="J15" s="15" t="str">
        <f>IF(IFERROR(MATCH(I15,Data!$T$2:$T$251,0),"")="","",INDEX(Data!$A$2:$A$251,IFERROR(MATCH(I15,Data!$T$2:$T$251,0),"")))</f>
        <v>TRX0004</v>
      </c>
      <c r="K15" s="22">
        <f>IF(IFERROR(MATCH(I15,Data!$T$2:$T$251,0),"")="","",INDEX(Data!$B$2:$B$251,IFERROR(MATCH(I15,Data!$T$2:$T$251,0),"")))</f>
        <v>45424</v>
      </c>
      <c r="L15" s="15" t="str">
        <f>IF(IFERROR(MATCH(I15,Data!$T$2:$T$251,0),"")="","",INDEX(Data!$D$2:$D$251,IFERROR(MATCH(I15,Data!$T$2:$T$251,0),"")))</f>
        <v>Patricia Moore</v>
      </c>
      <c r="M15" s="15" t="str">
        <f>IF(IFERROR(MATCH(I15,Data!$T$2:$T$251,0),"")="","",INDEX(Data!$F$2:$F$251,IFERROR(MATCH(I15,Data!$T$2:$T$251,0),"")))</f>
        <v>Keyboard</v>
      </c>
      <c r="N15" s="26">
        <f>IF(IFERROR(MATCH(I15,Data!$T$2:$T$251,0),"")="","",INDEX(Data!$N$2:$N$251,IFERROR(MATCH(I15,Data!$T$2:$T$251,0),"")))</f>
        <v>449.95</v>
      </c>
    </row>
    <row r="16" spans="1:14" x14ac:dyDescent="0.3">
      <c r="A16" s="15" t="s">
        <v>168</v>
      </c>
      <c r="B16" s="15" t="s">
        <v>156</v>
      </c>
      <c r="C16" s="15" t="str">
        <f t="shared" si="0"/>
        <v>Emma Wilson</v>
      </c>
      <c r="D16" s="15" t="str">
        <f t="shared" si="1"/>
        <v>EW</v>
      </c>
      <c r="E16" s="1"/>
      <c r="F16" s="1"/>
      <c r="G16" s="1"/>
      <c r="H16" s="1"/>
      <c r="I16" s="50">
        <v>6</v>
      </c>
      <c r="J16" s="15" t="str">
        <f>IF(IFERROR(MATCH(I16,Data!$T$2:$T$251,0),"")="","",INDEX(Data!$A$2:$A$251,IFERROR(MATCH(I16,Data!$T$2:$T$251,0),"")))</f>
        <v>TRX0117</v>
      </c>
      <c r="K16" s="22">
        <f>IF(IFERROR(MATCH(I16,Data!$T$2:$T$251,0),"")="","",INDEX(Data!$B$2:$B$251,IFERROR(MATCH(I16,Data!$T$2:$T$251,0),"")))</f>
        <v>45444</v>
      </c>
      <c r="L16" s="15" t="str">
        <f>IF(IFERROR(MATCH(I16,Data!$T$2:$T$251,0),"")="","",INDEX(Data!$D$2:$D$251,IFERROR(MATCH(I16,Data!$T$2:$T$251,0),"")))</f>
        <v>Charles Allen</v>
      </c>
      <c r="M16" s="15" t="str">
        <f>IF(IFERROR(MATCH(I16,Data!$T$2:$T$251,0),"")="","",INDEX(Data!$F$2:$F$251,IFERROR(MATCH(I16,Data!$T$2:$T$251,0),"")))</f>
        <v>Keyboard</v>
      </c>
      <c r="N16" s="26">
        <f>IF(IFERROR(MATCH(I16,Data!$T$2:$T$251,0),"")="","",INDEX(Data!$N$2:$N$251,IFERROR(MATCH(I16,Data!$T$2:$T$251,0),"")))</f>
        <v>89.99</v>
      </c>
    </row>
    <row r="17" spans="1:14" x14ac:dyDescent="0.3">
      <c r="A17" s="15" t="s">
        <v>119</v>
      </c>
      <c r="B17" s="15" t="s">
        <v>177</v>
      </c>
      <c r="C17" s="15" t="str">
        <f t="shared" si="0"/>
        <v/>
      </c>
      <c r="D17" s="15" t="str">
        <f t="shared" si="1"/>
        <v/>
      </c>
      <c r="E17" s="1"/>
      <c r="F17" s="1"/>
      <c r="G17" s="1"/>
      <c r="H17" s="1"/>
      <c r="I17" s="50">
        <v>7</v>
      </c>
      <c r="J17" s="15" t="str">
        <f>IF(IFERROR(MATCH(I17,Data!$T$2:$T$251,0),"")="","",INDEX(Data!$A$2:$A$251,IFERROR(MATCH(I17,Data!$T$2:$T$251,0),"")))</f>
        <v>TRX0114</v>
      </c>
      <c r="K17" s="22">
        <f>IF(IFERROR(MATCH(I17,Data!$T$2:$T$251,0),"")="","",INDEX(Data!$B$2:$B$251,IFERROR(MATCH(I17,Data!$T$2:$T$251,0),"")))</f>
        <v>45481</v>
      </c>
      <c r="L17" s="15" t="str">
        <f>IF(IFERROR(MATCH(I17,Data!$T$2:$T$251,0),"")="","",INDEX(Data!$D$2:$D$251,IFERROR(MATCH(I17,Data!$T$2:$T$251,0),"")))</f>
        <v>Barbara Young</v>
      </c>
      <c r="M17" s="15" t="str">
        <f>IF(IFERROR(MATCH(I17,Data!$T$2:$T$251,0),"")="","",INDEX(Data!$F$2:$F$251,IFERROR(MATCH(I17,Data!$T$2:$T$251,0),"")))</f>
        <v>Keyboard</v>
      </c>
      <c r="N17" s="26">
        <f>IF(IFERROR(MATCH(I17,Data!$T$2:$T$251,0),"")="","",INDEX(Data!$N$2:$N$251,IFERROR(MATCH(I17,Data!$T$2:$T$251,0),"")))</f>
        <v>449.95</v>
      </c>
    </row>
    <row r="18" spans="1:14" x14ac:dyDescent="0.3">
      <c r="A18" s="15" t="s">
        <v>232</v>
      </c>
      <c r="B18" s="15" t="s">
        <v>422</v>
      </c>
      <c r="C18" s="15" t="str">
        <f t="shared" si="0"/>
        <v/>
      </c>
      <c r="D18" s="15" t="str">
        <f t="shared" si="1"/>
        <v/>
      </c>
      <c r="E18" s="1"/>
      <c r="F18" s="1"/>
      <c r="G18" s="1"/>
      <c r="H18" s="1"/>
      <c r="I18" s="50">
        <v>8</v>
      </c>
      <c r="J18" s="15" t="str">
        <f>IF(IFERROR(MATCH(I18,Data!$T$2:$T$251,0),"")="","",INDEX(Data!$A$2:$A$251,IFERROR(MATCH(I18,Data!$T$2:$T$251,0),"")))</f>
        <v>TRX0080</v>
      </c>
      <c r="K18" s="22">
        <f>IF(IFERROR(MATCH(I18,Data!$T$2:$T$251,0),"")="","",INDEX(Data!$B$2:$B$251,IFERROR(MATCH(I18,Data!$T$2:$T$251,0),"")))</f>
        <v>45500</v>
      </c>
      <c r="L18" s="15" t="str">
        <f>IF(IFERROR(MATCH(I18,Data!$T$2:$T$251,0),"")="","",INDEX(Data!$D$2:$D$251,IFERROR(MATCH(I18,Data!$T$2:$T$251,0),"")))</f>
        <v>Barbara Young</v>
      </c>
      <c r="M18" s="15" t="str">
        <f>IF(IFERROR(MATCH(I18,Data!$T$2:$T$251,0),"")="","",INDEX(Data!$F$2:$F$251,IFERROR(MATCH(I18,Data!$T$2:$T$251,0),"")))</f>
        <v>Monitor</v>
      </c>
      <c r="N18" s="26">
        <f>IF(IFERROR(MATCH(I18,Data!$T$2:$T$251,0),"")="","",INDEX(Data!$N$2:$N$251,IFERROR(MATCH(I18,Data!$T$2:$T$251,0),"")))</f>
        <v>499.98</v>
      </c>
    </row>
    <row r="19" spans="1:14" x14ac:dyDescent="0.3">
      <c r="A19" s="15" t="s">
        <v>180</v>
      </c>
      <c r="B19" s="15" t="s">
        <v>104</v>
      </c>
      <c r="C19" s="15" t="str">
        <f t="shared" si="0"/>
        <v/>
      </c>
      <c r="D19" s="15" t="str">
        <f t="shared" si="1"/>
        <v/>
      </c>
      <c r="E19" s="1"/>
      <c r="F19" s="1"/>
      <c r="G19" s="1"/>
      <c r="H19" s="1"/>
      <c r="I19" s="50">
        <v>9</v>
      </c>
      <c r="J19" s="15" t="str">
        <f>IF(IFERROR(MATCH(I19,Data!$T$2:$T$251,0),"")="","",INDEX(Data!$A$2:$A$251,IFERROR(MATCH(I19,Data!$T$2:$T$251,0),"")))</f>
        <v>TRX0217</v>
      </c>
      <c r="K19" s="22">
        <f>IF(IFERROR(MATCH(I19,Data!$T$2:$T$251,0),"")="","",INDEX(Data!$B$2:$B$251,IFERROR(MATCH(I19,Data!$T$2:$T$251,0),"")))</f>
        <v>45503</v>
      </c>
      <c r="L19" s="15" t="str">
        <f>IF(IFERROR(MATCH(I19,Data!$T$2:$T$251,0),"")="","",INDEX(Data!$D$2:$D$251,IFERROR(MATCH(I19,Data!$T$2:$T$251,0),"")))</f>
        <v>Mark Carter</v>
      </c>
      <c r="M19" s="15" t="str">
        <f>IF(IFERROR(MATCH(I19,Data!$T$2:$T$251,0),"")="","",INDEX(Data!$F$2:$F$251,IFERROR(MATCH(I19,Data!$T$2:$T$251,0),"")))</f>
        <v>Smartphone</v>
      </c>
      <c r="N19" s="26">
        <f>IF(IFERROR(MATCH(I19,Data!$T$2:$T$251,0),"")="","",INDEX(Data!$N$2:$N$251,IFERROR(MATCH(I19,Data!$T$2:$T$251,0),"")))</f>
        <v>1399.98</v>
      </c>
    </row>
    <row r="20" spans="1:14" x14ac:dyDescent="0.3">
      <c r="A20" s="15" t="s">
        <v>156</v>
      </c>
      <c r="B20" s="15" t="s">
        <v>74</v>
      </c>
      <c r="C20" s="15" t="str">
        <f t="shared" si="0"/>
        <v>Helen Roberts</v>
      </c>
      <c r="D20" s="15" t="str">
        <f t="shared" si="1"/>
        <v>HR</v>
      </c>
      <c r="E20" s="1"/>
      <c r="F20" s="1"/>
      <c r="G20" s="1"/>
      <c r="H20" s="1"/>
      <c r="I20" s="50">
        <v>10</v>
      </c>
      <c r="J20" s="15" t="str">
        <f>IF(IFERROR(MATCH(I20,Data!$T$2:$T$251,0),"")="","",INDEX(Data!$A$2:$A$251,IFERROR(MATCH(I20,Data!$T$2:$T$251,0),"")))</f>
        <v>TRX0101</v>
      </c>
      <c r="K20" s="22">
        <f>IF(IFERROR(MATCH(I20,Data!$T$2:$T$251,0),"")="","",INDEX(Data!$B$2:$B$251,IFERROR(MATCH(I20,Data!$T$2:$T$251,0),"")))</f>
        <v>45513</v>
      </c>
      <c r="L20" s="15" t="str">
        <f>IF(IFERROR(MATCH(I20,Data!$T$2:$T$251,0),"")="","",INDEX(Data!$D$2:$D$251,IFERROR(MATCH(I20,Data!$T$2:$T$251,0),"")))</f>
        <v>Maria Garcia</v>
      </c>
      <c r="M20" s="15" t="str">
        <f>IF(IFERROR(MATCH(I20,Data!$T$2:$T$251,0),"")="","",INDEX(Data!$F$2:$F$251,IFERROR(MATCH(I20,Data!$T$2:$T$251,0),"")))</f>
        <v>Keyboard</v>
      </c>
      <c r="N20" s="26">
        <f>IF(IFERROR(MATCH(I20,Data!$T$2:$T$251,0),"")="","",INDEX(Data!$N$2:$N$251,IFERROR(MATCH(I20,Data!$T$2:$T$251,0),"")))</f>
        <v>89.99</v>
      </c>
    </row>
    <row r="21" spans="1:14" x14ac:dyDescent="0.3">
      <c r="A21" s="15" t="s">
        <v>177</v>
      </c>
      <c r="B21" s="15" t="s">
        <v>65</v>
      </c>
      <c r="C21" s="15" t="str">
        <f t="shared" si="0"/>
        <v>Jennifer Taylor</v>
      </c>
      <c r="D21" s="15" t="str">
        <f t="shared" si="1"/>
        <v>JT</v>
      </c>
      <c r="E21" s="1"/>
      <c r="F21" s="1"/>
      <c r="G21" s="1"/>
      <c r="H21" s="1"/>
      <c r="I21" s="50">
        <v>11</v>
      </c>
      <c r="J21" s="15" t="str">
        <f>IF(IFERROR(MATCH(I21,Data!$T$2:$T$251,0),"")="","",INDEX(Data!$A$2:$A$251,IFERROR(MATCH(I21,Data!$T$2:$T$251,0),"")))</f>
        <v>TRX0098</v>
      </c>
      <c r="K21" s="22">
        <f>IF(IFERROR(MATCH(I21,Data!$T$2:$T$251,0),"")="","",INDEX(Data!$B$2:$B$251,IFERROR(MATCH(I21,Data!$T$2:$T$251,0),"")))</f>
        <v>45517</v>
      </c>
      <c r="L21" s="15" t="str">
        <f>IF(IFERROR(MATCH(I21,Data!$T$2:$T$251,0),"")="","",INDEX(Data!$D$2:$D$251,IFERROR(MATCH(I21,Data!$T$2:$T$251,0),"")))</f>
        <v>Karen Hill</v>
      </c>
      <c r="M21" s="15" t="str">
        <f>IF(IFERROR(MATCH(I21,Data!$T$2:$T$251,0),"")="","",INDEX(Data!$F$2:$F$251,IFERROR(MATCH(I21,Data!$T$2:$T$251,0),"")))</f>
        <v>Monitor</v>
      </c>
      <c r="N21" s="26">
        <f>IF(IFERROR(MATCH(I21,Data!$T$2:$T$251,0),"")="","",INDEX(Data!$N$2:$N$251,IFERROR(MATCH(I21,Data!$T$2:$T$251,0),"")))</f>
        <v>749.97</v>
      </c>
    </row>
    <row r="22" spans="1:14" x14ac:dyDescent="0.3">
      <c r="A22" s="15" t="s">
        <v>60</v>
      </c>
      <c r="B22" s="15" t="s">
        <v>262</v>
      </c>
      <c r="C22" s="15" t="str">
        <f t="shared" si="0"/>
        <v/>
      </c>
      <c r="D22" s="15" t="str">
        <f t="shared" si="1"/>
        <v/>
      </c>
      <c r="E22" s="1"/>
      <c r="F22" s="1"/>
      <c r="G22" s="1"/>
      <c r="H22" s="1"/>
      <c r="I22" s="50">
        <v>12</v>
      </c>
      <c r="J22" s="15" t="str">
        <f>IF(IFERROR(MATCH(I22,Data!$T$2:$T$251,0),"")="","",INDEX(Data!$A$2:$A$251,IFERROR(MATCH(I22,Data!$T$2:$T$251,0),"")))</f>
        <v>TRX0248</v>
      </c>
      <c r="K22" s="22">
        <f>IF(IFERROR(MATCH(I22,Data!$T$2:$T$251,0),"")="","",INDEX(Data!$B$2:$B$251,IFERROR(MATCH(I22,Data!$T$2:$T$251,0),"")))</f>
        <v>45534</v>
      </c>
      <c r="L22" s="15" t="str">
        <f>IF(IFERROR(MATCH(I22,Data!$T$2:$T$251,0),"")="","",INDEX(Data!$D$2:$D$251,IFERROR(MATCH(I22,Data!$T$2:$T$251,0),"")))</f>
        <v>Sandra Phillips</v>
      </c>
      <c r="M22" s="15" t="str">
        <f>IF(IFERROR(MATCH(I22,Data!$T$2:$T$251,0),"")="","",INDEX(Data!$F$2:$F$251,IFERROR(MATCH(I22,Data!$T$2:$T$251,0),"")))</f>
        <v>Smartphone</v>
      </c>
      <c r="N22" s="26">
        <f>IF(IFERROR(MATCH(I22,Data!$T$2:$T$251,0),"")="","",INDEX(Data!$N$2:$N$251,IFERROR(MATCH(I22,Data!$T$2:$T$251,0),"")))</f>
        <v>1399.98</v>
      </c>
    </row>
    <row r="23" spans="1:14" x14ac:dyDescent="0.3">
      <c r="A23" s="15" t="s">
        <v>104</v>
      </c>
      <c r="B23" s="15" t="s">
        <v>151</v>
      </c>
      <c r="C23" s="15" t="str">
        <f t="shared" si="0"/>
        <v>Karen Hill</v>
      </c>
      <c r="D23" s="15" t="str">
        <f t="shared" si="1"/>
        <v>KH</v>
      </c>
      <c r="E23" s="1"/>
      <c r="F23" s="1"/>
      <c r="G23" s="1"/>
      <c r="H23" s="1"/>
      <c r="I23" s="50">
        <v>13</v>
      </c>
      <c r="J23" s="15" t="str">
        <f>IF(IFERROR(MATCH(I23,Data!$T$2:$T$251,0),"")="","",INDEX(Data!$A$2:$A$251,IFERROR(MATCH(I23,Data!$T$2:$T$251,0),"")))</f>
        <v>TRX0074</v>
      </c>
      <c r="K23" s="22">
        <f>IF(IFERROR(MATCH(I23,Data!$T$2:$T$251,0),"")="","",INDEX(Data!$B$2:$B$251,IFERROR(MATCH(I23,Data!$T$2:$T$251,0),"")))</f>
        <v>45537</v>
      </c>
      <c r="L23" s="15" t="str">
        <f>IF(IFERROR(MATCH(I23,Data!$T$2:$T$251,0),"")="","",INDEX(Data!$D$2:$D$251,IFERROR(MATCH(I23,Data!$T$2:$T$251,0),"")))</f>
        <v>Paul Baker</v>
      </c>
      <c r="M23" s="15" t="str">
        <f>IF(IFERROR(MATCH(I23,Data!$T$2:$T$251,0),"")="","",INDEX(Data!$F$2:$F$251,IFERROR(MATCH(I23,Data!$T$2:$T$251,0),"")))</f>
        <v>Monitor</v>
      </c>
      <c r="N23" s="26">
        <f>IF(IFERROR(MATCH(I23,Data!$T$2:$T$251,0),"")="","",INDEX(Data!$N$2:$N$251,IFERROR(MATCH(I23,Data!$T$2:$T$251,0),"")))</f>
        <v>249.99</v>
      </c>
    </row>
    <row r="24" spans="1:14" x14ac:dyDescent="0.3">
      <c r="A24" s="15" t="s">
        <v>74</v>
      </c>
      <c r="B24" s="15" t="s">
        <v>165</v>
      </c>
      <c r="C24" s="15" t="str">
        <f t="shared" si="0"/>
        <v>Kathleen Bennett</v>
      </c>
      <c r="D24" s="15" t="str">
        <f t="shared" si="1"/>
        <v>KB</v>
      </c>
      <c r="E24" s="1"/>
      <c r="F24" s="1"/>
      <c r="G24" s="1"/>
      <c r="H24" s="1"/>
      <c r="I24" s="50">
        <v>14</v>
      </c>
      <c r="J24" s="15" t="str">
        <f>IF(IFERROR(MATCH(I24,Data!$T$2:$T$251,0),"")="","",INDEX(Data!$A$2:$A$251,IFERROR(MATCH(I24,Data!$T$2:$T$251,0),"")))</f>
        <v>TRX0005</v>
      </c>
      <c r="K24" s="22">
        <f>IF(IFERROR(MATCH(I24,Data!$T$2:$T$251,0),"")="","",INDEX(Data!$B$2:$B$251,IFERROR(MATCH(I24,Data!$T$2:$T$251,0),"")))</f>
        <v>45550</v>
      </c>
      <c r="L24" s="15" t="str">
        <f>IF(IFERROR(MATCH(I24,Data!$T$2:$T$251,0),"")="","",INDEX(Data!$D$2:$D$251,IFERROR(MATCH(I24,Data!$T$2:$T$251,0),"")))</f>
        <v>Ruth Brooks</v>
      </c>
      <c r="M24" s="15" t="str">
        <f>IF(IFERROR(MATCH(I24,Data!$T$2:$T$251,0),"")="","",INDEX(Data!$F$2:$F$251,IFERROR(MATCH(I24,Data!$T$2:$T$251,0),"")))</f>
        <v>Headphones</v>
      </c>
      <c r="N24" s="26">
        <f>IF(IFERROR(MATCH(I24,Data!$T$2:$T$251,0),"")="","",INDEX(Data!$N$2:$N$251,IFERROR(MATCH(I24,Data!$T$2:$T$251,0),"")))</f>
        <v>599.96</v>
      </c>
    </row>
    <row r="25" spans="1:14" x14ac:dyDescent="0.3">
      <c r="A25" s="15" t="s">
        <v>65</v>
      </c>
      <c r="B25" s="15" t="s">
        <v>221</v>
      </c>
      <c r="C25" s="15" t="str">
        <f t="shared" si="0"/>
        <v>Kevin Scott</v>
      </c>
      <c r="D25" s="15" t="str">
        <f t="shared" si="1"/>
        <v>KS</v>
      </c>
      <c r="E25" s="1"/>
      <c r="F25" s="1"/>
      <c r="G25" s="1"/>
      <c r="H25" s="1"/>
      <c r="I25" s="50">
        <v>15</v>
      </c>
      <c r="J25" s="15" t="str">
        <f>IF(IFERROR(MATCH(I25,Data!$T$2:$T$251,0),"")="","",INDEX(Data!$A$2:$A$251,IFERROR(MATCH(I25,Data!$T$2:$T$251,0),"")))</f>
        <v>TRX0177</v>
      </c>
      <c r="K25" s="22">
        <f>IF(IFERROR(MATCH(I25,Data!$T$2:$T$251,0),"")="","",INDEX(Data!$B$2:$B$251,IFERROR(MATCH(I25,Data!$T$2:$T$251,0),"")))</f>
        <v>45559</v>
      </c>
      <c r="L25" s="15" t="str">
        <f>IF(IFERROR(MATCH(I25,Data!$T$2:$T$251,0),"")="","",INDEX(Data!$D$2:$D$251,IFERROR(MATCH(I25,Data!$T$2:$T$251,0),"")))</f>
        <v>Sandra Phillips</v>
      </c>
      <c r="M25" s="15" t="str">
        <f>IF(IFERROR(MATCH(I25,Data!$T$2:$T$251,0),"")="","",INDEX(Data!$F$2:$F$251,IFERROR(MATCH(I25,Data!$T$2:$T$251,0),"")))</f>
        <v>Laptop</v>
      </c>
      <c r="N25" s="26">
        <f>IF(IFERROR(MATCH(I25,Data!$T$2:$T$251,0),"")="","",INDEX(Data!$N$2:$N$251,IFERROR(MATCH(I25,Data!$T$2:$T$251,0),"")))</f>
        <v>2699.9700000000003</v>
      </c>
    </row>
    <row r="26" spans="1:14" x14ac:dyDescent="0.3">
      <c r="A26" s="15" t="s">
        <v>262</v>
      </c>
      <c r="B26" s="15" t="s">
        <v>126</v>
      </c>
      <c r="C26" s="15" t="str">
        <f t="shared" si="0"/>
        <v>Lawrence Reed</v>
      </c>
      <c r="D26" s="15" t="str">
        <f t="shared" si="1"/>
        <v>LR</v>
      </c>
      <c r="E26" s="1"/>
      <c r="F26" s="1"/>
      <c r="G26" s="1"/>
      <c r="H26" s="1"/>
      <c r="I26" s="50">
        <v>16</v>
      </c>
      <c r="J26" s="15" t="str">
        <f>IF(IFERROR(MATCH(I26,Data!$T$2:$T$251,0),"")="","",INDEX(Data!$A$2:$A$251,IFERROR(MATCH(I26,Data!$T$2:$T$251,0),"")))</f>
        <v>TRX0203</v>
      </c>
      <c r="K26" s="22">
        <f>IF(IFERROR(MATCH(I26,Data!$T$2:$T$251,0),"")="","",INDEX(Data!$B$2:$B$251,IFERROR(MATCH(I26,Data!$T$2:$T$251,0),"")))</f>
        <v>45572</v>
      </c>
      <c r="L26" s="15" t="str">
        <f>IF(IFERROR(MATCH(I26,Data!$T$2:$T$251,0),"")="","",INDEX(Data!$D$2:$D$251,IFERROR(MATCH(I26,Data!$T$2:$T$251,0),"")))</f>
        <v>Sandra Phillips</v>
      </c>
      <c r="M26" s="15" t="str">
        <f>IF(IFERROR(MATCH(I26,Data!$T$2:$T$251,0),"")="","",INDEX(Data!$F$2:$F$251,IFERROR(MATCH(I26,Data!$T$2:$T$251,0),"")))</f>
        <v>Headphones</v>
      </c>
      <c r="N26" s="26">
        <f>IF(IFERROR(MATCH(I26,Data!$T$2:$T$251,0),"")="","",INDEX(Data!$N$2:$N$251,IFERROR(MATCH(I26,Data!$T$2:$T$251,0),"")))</f>
        <v>599.96</v>
      </c>
    </row>
    <row r="27" spans="1:14" x14ac:dyDescent="0.3">
      <c r="A27" s="15" t="s">
        <v>151</v>
      </c>
      <c r="B27" s="15" t="s">
        <v>122</v>
      </c>
      <c r="C27" s="15" t="str">
        <f t="shared" si="0"/>
        <v>Linda Martin</v>
      </c>
      <c r="D27" s="15" t="str">
        <f t="shared" si="1"/>
        <v>LM</v>
      </c>
      <c r="E27" s="1"/>
      <c r="F27" s="1"/>
      <c r="G27" s="1"/>
      <c r="H27" s="1"/>
      <c r="I27" s="50">
        <v>17</v>
      </c>
      <c r="J27" s="15" t="str">
        <f>IF(IFERROR(MATCH(I27,Data!$T$2:$T$251,0),"")="","",INDEX(Data!$A$2:$A$251,IFERROR(MATCH(I27,Data!$T$2:$T$251,0),"")))</f>
        <v>TRX0167</v>
      </c>
      <c r="K27" s="22">
        <f>IF(IFERROR(MATCH(I27,Data!$T$2:$T$251,0),"")="","",INDEX(Data!$B$2:$B$251,IFERROR(MATCH(I27,Data!$T$2:$T$251,0),"")))</f>
        <v>45589</v>
      </c>
      <c r="L27" s="15" t="str">
        <f>IF(IFERROR(MATCH(I27,Data!$T$2:$T$251,0),"")="","",INDEX(Data!$D$2:$D$251,IFERROR(MATCH(I27,Data!$T$2:$T$251,0),"")))</f>
        <v>Betty Campbell</v>
      </c>
      <c r="M27" s="15" t="str">
        <f>IF(IFERROR(MATCH(I27,Data!$T$2:$T$251,0),"")="","",INDEX(Data!$F$2:$F$251,IFERROR(MATCH(I27,Data!$T$2:$T$251,0),"")))</f>
        <v>Smartphone</v>
      </c>
      <c r="N27" s="26">
        <f>IF(IFERROR(MATCH(I27,Data!$T$2:$T$251,0),"")="","",INDEX(Data!$N$2:$N$251,IFERROR(MATCH(I27,Data!$T$2:$T$251,0),"")))</f>
        <v>3499.95</v>
      </c>
    </row>
    <row r="28" spans="1:14" x14ac:dyDescent="0.3">
      <c r="A28" s="15" t="s">
        <v>165</v>
      </c>
      <c r="B28" s="15" t="s">
        <v>78</v>
      </c>
      <c r="C28" s="15" t="str">
        <f t="shared" si="0"/>
        <v>Lisa Anderson</v>
      </c>
      <c r="D28" s="15" t="str">
        <f t="shared" si="1"/>
        <v>LA</v>
      </c>
      <c r="E28" s="1"/>
      <c r="F28" s="1"/>
      <c r="G28" s="1"/>
      <c r="H28" s="1"/>
      <c r="I28" s="50">
        <v>18</v>
      </c>
      <c r="J28" s="15" t="str">
        <f>IF(IFERROR(MATCH(I28,Data!$T$2:$T$251,0),"")="","",INDEX(Data!$A$2:$A$251,IFERROR(MATCH(I28,Data!$T$2:$T$251,0),"")))</f>
        <v>TRX0153</v>
      </c>
      <c r="K28" s="22">
        <f>IF(IFERROR(MATCH(I28,Data!$T$2:$T$251,0),"")="","",INDEX(Data!$B$2:$B$251,IFERROR(MATCH(I28,Data!$T$2:$T$251,0),"")))</f>
        <v>45592</v>
      </c>
      <c r="L28" s="15" t="str">
        <f>IF(IFERROR(MATCH(I28,Data!$T$2:$T$251,0),"")="","",INDEX(Data!$D$2:$D$251,IFERROR(MATCH(I28,Data!$T$2:$T$251,0),"")))</f>
        <v>Raymond Ross</v>
      </c>
      <c r="M28" s="15" t="str">
        <f>IF(IFERROR(MATCH(I28,Data!$T$2:$T$251,0),"")="","",INDEX(Data!$F$2:$F$251,IFERROR(MATCH(I28,Data!$T$2:$T$251,0),"")))</f>
        <v>Keyboard</v>
      </c>
      <c r="N28" s="26">
        <f>IF(IFERROR(MATCH(I28,Data!$T$2:$T$251,0),"")="","",INDEX(Data!$N$2:$N$251,IFERROR(MATCH(I28,Data!$T$2:$T$251,0),"")))</f>
        <v>269.96999999999997</v>
      </c>
    </row>
    <row r="29" spans="1:14" x14ac:dyDescent="0.3">
      <c r="A29" s="15" t="s">
        <v>221</v>
      </c>
      <c r="B29" s="15" t="s">
        <v>144</v>
      </c>
      <c r="C29" s="15" t="str">
        <f t="shared" si="0"/>
        <v>Margaret Wright</v>
      </c>
      <c r="D29" s="15" t="str">
        <f t="shared" si="1"/>
        <v>MW</v>
      </c>
      <c r="E29" s="1"/>
      <c r="F29" s="1"/>
      <c r="G29" s="1"/>
      <c r="H29" s="1"/>
      <c r="I29" s="50">
        <v>19</v>
      </c>
      <c r="J29" s="15" t="str">
        <f>IF(IFERROR(MATCH(I29,Data!$T$2:$T$251,0),"")="","",INDEX(Data!$A$2:$A$251,IFERROR(MATCH(I29,Data!$T$2:$T$251,0),"")))</f>
        <v>TRX0060</v>
      </c>
      <c r="K29" s="22">
        <f>IF(IFERROR(MATCH(I29,Data!$T$2:$T$251,0),"")="","",INDEX(Data!$B$2:$B$251,IFERROR(MATCH(I29,Data!$T$2:$T$251,0),"")))</f>
        <v>45603</v>
      </c>
      <c r="L29" s="15" t="str">
        <f>IF(IFERROR(MATCH(I29,Data!$T$2:$T$251,0),"")="","",INDEX(Data!$D$2:$D$251,IFERROR(MATCH(I29,Data!$T$2:$T$251,0),"")))</f>
        <v>Patricia Moore</v>
      </c>
      <c r="M29" s="15" t="str">
        <f>IF(IFERROR(MATCH(I29,Data!$T$2:$T$251,0),"")="","",INDEX(Data!$F$2:$F$251,IFERROR(MATCH(I29,Data!$T$2:$T$251,0),"")))</f>
        <v>Keyboard</v>
      </c>
      <c r="N29" s="26">
        <f>IF(IFERROR(MATCH(I29,Data!$T$2:$T$251,0),"")="","",INDEX(Data!$N$2:$N$251,IFERROR(MATCH(I29,Data!$T$2:$T$251,0),"")))</f>
        <v>269.96999999999997</v>
      </c>
    </row>
    <row r="30" spans="1:14" x14ac:dyDescent="0.3">
      <c r="A30" s="15" t="s">
        <v>126</v>
      </c>
      <c r="B30" s="15" t="s">
        <v>135</v>
      </c>
      <c r="C30" s="15" t="str">
        <f t="shared" si="0"/>
        <v>Maria Garcia</v>
      </c>
      <c r="D30" s="15" t="str">
        <f t="shared" si="1"/>
        <v>MG</v>
      </c>
      <c r="E30" s="1"/>
      <c r="F30" s="1"/>
      <c r="G30" s="1"/>
      <c r="H30" s="1"/>
      <c r="I30" s="50">
        <v>20</v>
      </c>
      <c r="J30" s="15" t="str">
        <f>IF(IFERROR(MATCH(I30,Data!$T$2:$T$251,0),"")="","",INDEX(Data!$A$2:$A$251,IFERROR(MATCH(I30,Data!$T$2:$T$251,0),"")))</f>
        <v>TRX0090</v>
      </c>
      <c r="K30" s="22">
        <f>IF(IFERROR(MATCH(I30,Data!$T$2:$T$251,0),"")="","",INDEX(Data!$B$2:$B$251,IFERROR(MATCH(I30,Data!$T$2:$T$251,0),"")))</f>
        <v>45605</v>
      </c>
      <c r="L30" s="15" t="str">
        <f>IF(IFERROR(MATCH(I30,Data!$T$2:$T$251,0),"")="","",INDEX(Data!$D$2:$D$251,IFERROR(MATCH(I30,Data!$T$2:$T$251,0),"")))</f>
        <v>Margaret Wright</v>
      </c>
      <c r="M30" s="15" t="str">
        <f>IF(IFERROR(MATCH(I30,Data!$T$2:$T$251,0),"")="","",INDEX(Data!$F$2:$F$251,IFERROR(MATCH(I30,Data!$T$2:$T$251,0),"")))</f>
        <v>Monitor</v>
      </c>
      <c r="N30" s="26">
        <f>IF(IFERROR(MATCH(I30,Data!$T$2:$T$251,0),"")="","",INDEX(Data!$N$2:$N$251,IFERROR(MATCH(I30,Data!$T$2:$T$251,0),"")))</f>
        <v>249.99</v>
      </c>
    </row>
    <row r="31" spans="1:14" x14ac:dyDescent="0.3">
      <c r="A31" s="15" t="s">
        <v>122</v>
      </c>
      <c r="B31" s="15" t="s">
        <v>51</v>
      </c>
      <c r="C31" s="15" t="str">
        <f t="shared" si="0"/>
        <v>Mark Carter</v>
      </c>
      <c r="D31" s="15" t="str">
        <f t="shared" si="1"/>
        <v>MC</v>
      </c>
      <c r="E31" s="1"/>
      <c r="F31" s="1"/>
      <c r="G31" s="1"/>
      <c r="H31" s="1"/>
      <c r="I31" s="50">
        <v>21</v>
      </c>
      <c r="J31" s="15" t="str">
        <f>IF(IFERROR(MATCH(I31,Data!$T$2:$T$251,0),"")="","",INDEX(Data!$A$2:$A$251,IFERROR(MATCH(I31,Data!$T$2:$T$251,0),"")))</f>
        <v>TRX0035</v>
      </c>
      <c r="K31" s="22">
        <f>IF(IFERROR(MATCH(I31,Data!$T$2:$T$251,0),"")="","",INDEX(Data!$B$2:$B$251,IFERROR(MATCH(I31,Data!$T$2:$T$251,0),"")))</f>
        <v>45607</v>
      </c>
      <c r="L31" s="15" t="str">
        <f>IF(IFERROR(MATCH(I31,Data!$T$2:$T$251,0),"")="","",INDEX(Data!$D$2:$D$251,IFERROR(MATCH(I31,Data!$T$2:$T$251,0),"")))</f>
        <v>Peter Richardson</v>
      </c>
      <c r="M31" s="15" t="str">
        <f>IF(IFERROR(MATCH(I31,Data!$T$2:$T$251,0),"")="","",INDEX(Data!$F$2:$F$251,IFERROR(MATCH(I31,Data!$T$2:$T$251,0),"")))</f>
        <v>Headphones</v>
      </c>
      <c r="N31" s="26">
        <f>IF(IFERROR(MATCH(I31,Data!$T$2:$T$251,0),"")="","",INDEX(Data!$N$2:$N$251,IFERROR(MATCH(I31,Data!$T$2:$T$251,0),"")))</f>
        <v>449.97</v>
      </c>
    </row>
    <row r="32" spans="1:14" x14ac:dyDescent="0.3">
      <c r="A32" s="15" t="s">
        <v>78</v>
      </c>
      <c r="B32" s="15" t="s">
        <v>108</v>
      </c>
      <c r="C32" s="15" t="str">
        <f t="shared" si="0"/>
        <v>Michael Brown</v>
      </c>
      <c r="D32" s="15" t="str">
        <f t="shared" si="1"/>
        <v>MB</v>
      </c>
      <c r="E32" s="1"/>
      <c r="F32" s="1"/>
      <c r="G32" s="1"/>
      <c r="H32" s="1"/>
      <c r="I32" s="50">
        <v>22</v>
      </c>
      <c r="J32" s="15" t="str">
        <f>IF(IFERROR(MATCH(I32,Data!$T$2:$T$251,0),"")="","",INDEX(Data!$A$2:$A$251,IFERROR(MATCH(I32,Data!$T$2:$T$251,0),"")))</f>
        <v>TRX0012</v>
      </c>
      <c r="K32" s="22">
        <f>IF(IFERROR(MATCH(I32,Data!$T$2:$T$251,0),"")="","",INDEX(Data!$B$2:$B$251,IFERROR(MATCH(I32,Data!$T$2:$T$251,0),"")))</f>
        <v>45622</v>
      </c>
      <c r="L32" s="15" t="str">
        <f>IF(IFERROR(MATCH(I32,Data!$T$2:$T$251,0),"")="","",INDEX(Data!$D$2:$D$251,IFERROR(MATCH(I32,Data!$T$2:$T$251,0),"")))</f>
        <v>Douglas Watson</v>
      </c>
      <c r="M32" s="15" t="str">
        <f>IF(IFERROR(MATCH(I32,Data!$T$2:$T$251,0),"")="","",INDEX(Data!$F$2:$F$251,IFERROR(MATCH(I32,Data!$T$2:$T$251,0),"")))</f>
        <v>Monitor</v>
      </c>
      <c r="N32" s="26">
        <f>IF(IFERROR(MATCH(I32,Data!$T$2:$T$251,0),"")="","",INDEX(Data!$N$2:$N$251,IFERROR(MATCH(I32,Data!$T$2:$T$251,0),"")))</f>
        <v>1249.95</v>
      </c>
    </row>
    <row r="33" spans="1:14" x14ac:dyDescent="0.3">
      <c r="A33" s="15" t="s">
        <v>114</v>
      </c>
      <c r="B33" s="15" t="s">
        <v>295</v>
      </c>
      <c r="C33" s="15" t="str">
        <f t="shared" si="0"/>
        <v/>
      </c>
      <c r="D33" s="15" t="str">
        <f t="shared" si="1"/>
        <v/>
      </c>
      <c r="E33" s="1"/>
      <c r="F33" s="1"/>
      <c r="G33" s="1"/>
      <c r="H33" s="1"/>
      <c r="I33" s="50">
        <v>23</v>
      </c>
      <c r="J33" s="15" t="str">
        <f>IF(IFERROR(MATCH(I33,Data!$T$2:$T$251,0),"")="","",INDEX(Data!$A$2:$A$251,IFERROR(MATCH(I33,Data!$T$2:$T$251,0),"")))</f>
        <v>TRX0066</v>
      </c>
      <c r="K33" s="22">
        <f>IF(IFERROR(MATCH(I33,Data!$T$2:$T$251,0),"")="","",INDEX(Data!$B$2:$B$251,IFERROR(MATCH(I33,Data!$T$2:$T$251,0),"")))</f>
        <v>45630</v>
      </c>
      <c r="L33" s="15" t="str">
        <f>IF(IFERROR(MATCH(I33,Data!$T$2:$T$251,0),"")="","",INDEX(Data!$D$2:$D$251,IFERROR(MATCH(I33,Data!$T$2:$T$251,0),"")))</f>
        <v>Dorothy Nelson</v>
      </c>
      <c r="M33" s="15" t="str">
        <f>IF(IFERROR(MATCH(I33,Data!$T$2:$T$251,0),"")="","",INDEX(Data!$F$2:$F$251,IFERROR(MATCH(I33,Data!$T$2:$T$251,0),"")))</f>
        <v>Smartphone</v>
      </c>
      <c r="N33" s="26">
        <f>IF(IFERROR(MATCH(I33,Data!$T$2:$T$251,0),"")="","",INDEX(Data!$N$2:$N$251,IFERROR(MATCH(I33,Data!$T$2:$T$251,0),"")))</f>
        <v>2799.96</v>
      </c>
    </row>
    <row r="34" spans="1:14" x14ac:dyDescent="0.3">
      <c r="A34" s="15" t="s">
        <v>144</v>
      </c>
      <c r="B34" s="15" t="s">
        <v>95</v>
      </c>
      <c r="C34" s="15" t="str">
        <f t="shared" si="0"/>
        <v>Nancy Collins</v>
      </c>
      <c r="D34" s="15" t="str">
        <f t="shared" si="1"/>
        <v>NC</v>
      </c>
      <c r="E34" s="1"/>
      <c r="F34" s="1"/>
      <c r="G34" s="1"/>
      <c r="H34" s="1"/>
      <c r="I34" s="50">
        <v>24</v>
      </c>
      <c r="J34" s="15" t="str">
        <f>IF(IFERROR(MATCH(I34,Data!$T$2:$T$251,0),"")="","",INDEX(Data!$A$2:$A$251,IFERROR(MATCH(I34,Data!$T$2:$T$251,0),"")))</f>
        <v>TRX0032</v>
      </c>
      <c r="K34" s="22">
        <f>IF(IFERROR(MATCH(I34,Data!$T$2:$T$251,0),"")="","",INDEX(Data!$B$2:$B$251,IFERROR(MATCH(I34,Data!$T$2:$T$251,0),"")))</f>
        <v>45638</v>
      </c>
      <c r="L34" s="15" t="str">
        <f>IF(IFERROR(MATCH(I34,Data!$T$2:$T$251,0),"")="","",INDEX(Data!$D$2:$D$251,IFERROR(MATCH(I34,Data!$T$2:$T$251,0),"")))</f>
        <v>Peter Richardson</v>
      </c>
      <c r="M34" s="15" t="str">
        <f>IF(IFERROR(MATCH(I34,Data!$T$2:$T$251,0),"")="","",INDEX(Data!$F$2:$F$251,IFERROR(MATCH(I34,Data!$T$2:$T$251,0),"")))</f>
        <v>Laptop</v>
      </c>
      <c r="N34" s="26">
        <f>IF(IFERROR(MATCH(I34,Data!$T$2:$T$251,0),"")="","",INDEX(Data!$N$2:$N$251,IFERROR(MATCH(I34,Data!$T$2:$T$251,0),"")))</f>
        <v>1799.98</v>
      </c>
    </row>
    <row r="35" spans="1:14" x14ac:dyDescent="0.3">
      <c r="A35" s="15" t="s">
        <v>135</v>
      </c>
      <c r="B35" s="15" t="s">
        <v>282</v>
      </c>
      <c r="C35" s="15" t="str">
        <f t="shared" si="0"/>
        <v>Patricia Moore</v>
      </c>
      <c r="D35" s="15" t="str">
        <f t="shared" si="1"/>
        <v>PM</v>
      </c>
      <c r="E35" s="1"/>
      <c r="F35" s="1"/>
      <c r="G35" s="1"/>
      <c r="H35" s="1"/>
      <c r="I35" s="50">
        <v>25</v>
      </c>
      <c r="J35" s="15" t="str">
        <f>IF(IFERROR(MATCH(I35,Data!$T$2:$T$251,0),"")="","",INDEX(Data!$A$2:$A$251,IFERROR(MATCH(I35,Data!$T$2:$T$251,0),"")))</f>
        <v>TRX0207</v>
      </c>
      <c r="K35" s="22">
        <f>IF(IFERROR(MATCH(I35,Data!$T$2:$T$251,0),"")="","",INDEX(Data!$B$2:$B$251,IFERROR(MATCH(I35,Data!$T$2:$T$251,0),"")))</f>
        <v>45657</v>
      </c>
      <c r="L35" s="15" t="str">
        <f>IF(IFERROR(MATCH(I35,Data!$T$2:$T$251,0),"")="","",INDEX(Data!$D$2:$D$251,IFERROR(MATCH(I35,Data!$T$2:$T$251,0),"")))</f>
        <v>Mark Carter</v>
      </c>
      <c r="M35" s="15" t="str">
        <f>IF(IFERROR(MATCH(I35,Data!$T$2:$T$251,0),"")="","",INDEX(Data!$F$2:$F$251,IFERROR(MATCH(I35,Data!$T$2:$T$251,0),"")))</f>
        <v>Laptop</v>
      </c>
      <c r="N35" s="26">
        <f>IF(IFERROR(MATCH(I35,Data!$T$2:$T$251,0),"")="","",INDEX(Data!$N$2:$N$251,IFERROR(MATCH(I35,Data!$T$2:$T$251,0),"")))</f>
        <v>899.99</v>
      </c>
    </row>
    <row r="36" spans="1:14" x14ac:dyDescent="0.3">
      <c r="A36" s="15" t="s">
        <v>51</v>
      </c>
      <c r="B36" s="15" t="s">
        <v>270</v>
      </c>
      <c r="C36" s="15" t="str">
        <f t="shared" si="0"/>
        <v>Paul Baker</v>
      </c>
      <c r="D36" s="15" t="str">
        <f t="shared" si="1"/>
        <v>PB</v>
      </c>
      <c r="E36" s="1"/>
      <c r="F36" s="1"/>
      <c r="G36" s="1"/>
      <c r="H36" s="1"/>
      <c r="I36" s="50">
        <v>26</v>
      </c>
      <c r="J36" s="15" t="str">
        <f>IF(IFERROR(MATCH(I36,Data!$T$2:$T$251,0),"")="","",INDEX(Data!$A$2:$A$251,IFERROR(MATCH(I36,Data!$T$2:$T$251,0),"")))</f>
        <v>TRX0026</v>
      </c>
      <c r="K36" s="22">
        <f>IF(IFERROR(MATCH(I36,Data!$T$2:$T$251,0),"")="","",INDEX(Data!$B$2:$B$251,IFERROR(MATCH(I36,Data!$T$2:$T$251,0),"")))</f>
        <v>45661</v>
      </c>
      <c r="L36" s="15" t="str">
        <f>IF(IFERROR(MATCH(I36,Data!$T$2:$T$251,0),"")="","",INDEX(Data!$D$2:$D$251,IFERROR(MATCH(I36,Data!$T$2:$T$251,0),"")))</f>
        <v>Arthur Edwards</v>
      </c>
      <c r="M36" s="15" t="str">
        <f>IF(IFERROR(MATCH(I36,Data!$T$2:$T$251,0),"")="","",INDEX(Data!$F$2:$F$251,IFERROR(MATCH(I36,Data!$T$2:$T$251,0),"")))</f>
        <v>Laptop</v>
      </c>
      <c r="N36" s="26">
        <f>IF(IFERROR(MATCH(I36,Data!$T$2:$T$251,0),"")="","",INDEX(Data!$N$2:$N$251,IFERROR(MATCH(I36,Data!$T$2:$T$251,0),"")))</f>
        <v>899.99</v>
      </c>
    </row>
    <row r="37" spans="1:14" x14ac:dyDescent="0.3">
      <c r="A37" s="15" t="s">
        <v>108</v>
      </c>
      <c r="B37" s="15" t="s">
        <v>190</v>
      </c>
      <c r="C37" s="15" t="str">
        <f t="shared" si="0"/>
        <v>Peter Richardson</v>
      </c>
      <c r="D37" s="15" t="str">
        <f t="shared" si="1"/>
        <v>PR</v>
      </c>
      <c r="E37" s="1"/>
      <c r="F37" s="1"/>
      <c r="G37" s="1"/>
      <c r="H37" s="1"/>
      <c r="I37" s="50">
        <v>27</v>
      </c>
      <c r="J37" s="15" t="str">
        <f>IF(IFERROR(MATCH(I37,Data!$T$2:$T$251,0),"")="","",INDEX(Data!$A$2:$A$251,IFERROR(MATCH(I37,Data!$T$2:$T$251,0),"")))</f>
        <v>TRX0238</v>
      </c>
      <c r="K37" s="22">
        <f>IF(IFERROR(MATCH(I37,Data!$T$2:$T$251,0),"")="","",INDEX(Data!$B$2:$B$251,IFERROR(MATCH(I37,Data!$T$2:$T$251,0),"")))</f>
        <v>45668</v>
      </c>
      <c r="L37" s="15" t="str">
        <f>IF(IFERROR(MATCH(I37,Data!$T$2:$T$251,0),"")="","",INDEX(Data!$D$2:$D$251,IFERROR(MATCH(I37,Data!$T$2:$T$251,0),"")))</f>
        <v>Michelle Rogers</v>
      </c>
      <c r="M37" s="15" t="str">
        <f>IF(IFERROR(MATCH(I37,Data!$T$2:$T$251,0),"")="","",INDEX(Data!$F$2:$F$251,IFERROR(MATCH(I37,Data!$T$2:$T$251,0),"")))</f>
        <v>Smartphone</v>
      </c>
      <c r="N37" s="26">
        <f>IF(IFERROR(MATCH(I37,Data!$T$2:$T$251,0),"")="","",INDEX(Data!$N$2:$N$251,IFERROR(MATCH(I37,Data!$T$2:$T$251,0),"")))</f>
        <v>2099.9700000000003</v>
      </c>
    </row>
    <row r="38" spans="1:14" x14ac:dyDescent="0.3">
      <c r="A38" s="15" t="s">
        <v>207</v>
      </c>
      <c r="B38" s="15" t="s">
        <v>174</v>
      </c>
      <c r="C38" s="15" t="str">
        <f t="shared" si="0"/>
        <v/>
      </c>
      <c r="D38" s="15" t="str">
        <f t="shared" si="1"/>
        <v/>
      </c>
      <c r="E38" s="1"/>
      <c r="F38" s="1"/>
      <c r="G38" s="1"/>
      <c r="H38" s="1"/>
      <c r="I38" s="50">
        <v>28</v>
      </c>
      <c r="J38" s="15" t="str">
        <f>IF(IFERROR(MATCH(I38,Data!$T$2:$T$251,0),"")="","",INDEX(Data!$A$2:$A$251,IFERROR(MATCH(I38,Data!$T$2:$T$251,0),"")))</f>
        <v>TRX0087</v>
      </c>
      <c r="K38" s="22">
        <f>IF(IFERROR(MATCH(I38,Data!$T$2:$T$251,0),"")="","",INDEX(Data!$B$2:$B$251,IFERROR(MATCH(I38,Data!$T$2:$T$251,0),"")))</f>
        <v>45671</v>
      </c>
      <c r="L38" s="15" t="str">
        <f>IF(IFERROR(MATCH(I38,Data!$T$2:$T$251,0),"")="","",INDEX(Data!$D$2:$D$251,IFERROR(MATCH(I38,Data!$T$2:$T$251,0),"")))</f>
        <v>Betty Campbell</v>
      </c>
      <c r="M38" s="15" t="str">
        <f>IF(IFERROR(MATCH(I38,Data!$T$2:$T$251,0),"")="","",INDEX(Data!$F$2:$F$251,IFERROR(MATCH(I38,Data!$T$2:$T$251,0),"")))</f>
        <v>Monitor</v>
      </c>
      <c r="N38" s="26">
        <f>IF(IFERROR(MATCH(I38,Data!$T$2:$T$251,0),"")="","",INDEX(Data!$N$2:$N$251,IFERROR(MATCH(I38,Data!$T$2:$T$251,0),"")))</f>
        <v>999.96</v>
      </c>
    </row>
    <row r="39" spans="1:14" x14ac:dyDescent="0.3">
      <c r="A39" s="15" t="s">
        <v>95</v>
      </c>
      <c r="B39" s="15" t="s">
        <v>101</v>
      </c>
      <c r="C39" s="15" t="str">
        <f t="shared" si="0"/>
        <v>Robert Thomas</v>
      </c>
      <c r="D39" s="15" t="str">
        <f t="shared" si="1"/>
        <v>RT</v>
      </c>
      <c r="E39" s="1"/>
      <c r="F39" s="1"/>
      <c r="G39" s="1"/>
      <c r="H39" s="1"/>
      <c r="I39" s="50">
        <v>29</v>
      </c>
      <c r="J39" s="15" t="str">
        <f>IF(IFERROR(MATCH(I39,Data!$T$2:$T$251,0),"")="","",INDEX(Data!$A$2:$A$251,IFERROR(MATCH(I39,Data!$T$2:$T$251,0),"")))</f>
        <v>TRX0107</v>
      </c>
      <c r="K39" s="22">
        <f>IF(IFERROR(MATCH(I39,Data!$T$2:$T$251,0),"")="","",INDEX(Data!$B$2:$B$251,IFERROR(MATCH(I39,Data!$T$2:$T$251,0),"")))</f>
        <v>45671</v>
      </c>
      <c r="L39" s="15" t="str">
        <f>IF(IFERROR(MATCH(I39,Data!$T$2:$T$251,0),"")="","",INDEX(Data!$D$2:$D$251,IFERROR(MATCH(I39,Data!$T$2:$T$251,0),"")))</f>
        <v>Helen Roberts</v>
      </c>
      <c r="M39" s="15" t="str">
        <f>IF(IFERROR(MATCH(I39,Data!$T$2:$T$251,0),"")="","",INDEX(Data!$F$2:$F$251,IFERROR(MATCH(I39,Data!$T$2:$T$251,0),"")))</f>
        <v>Headphones</v>
      </c>
      <c r="N39" s="26">
        <f>IF(IFERROR(MATCH(I39,Data!$T$2:$T$251,0),"")="","",INDEX(Data!$N$2:$N$251,IFERROR(MATCH(I39,Data!$T$2:$T$251,0),"")))</f>
        <v>299.98</v>
      </c>
    </row>
    <row r="40" spans="1:14" x14ac:dyDescent="0.3">
      <c r="A40" s="15" t="s">
        <v>282</v>
      </c>
      <c r="B40" s="15" t="s">
        <v>129</v>
      </c>
      <c r="C40" s="15" t="str">
        <f t="shared" si="0"/>
        <v>Ruth Brooks</v>
      </c>
      <c r="D40" s="15" t="str">
        <f t="shared" si="1"/>
        <v>RB</v>
      </c>
      <c r="E40" s="1"/>
      <c r="F40" s="1"/>
      <c r="G40" s="1"/>
      <c r="H40" s="1"/>
      <c r="I40" s="50">
        <v>30</v>
      </c>
      <c r="J40" s="15" t="str">
        <f>IF(IFERROR(MATCH(I40,Data!$T$2:$T$251,0),"")="","",INDEX(Data!$A$2:$A$251,IFERROR(MATCH(I40,Data!$T$2:$T$251,0),"")))</f>
        <v>TRX0047</v>
      </c>
      <c r="K40" s="22">
        <f>IF(IFERROR(MATCH(I40,Data!$T$2:$T$251,0),"")="","",INDEX(Data!$B$2:$B$251,IFERROR(MATCH(I40,Data!$T$2:$T$251,0),"")))</f>
        <v>45711</v>
      </c>
      <c r="L40" s="15" t="str">
        <f>IF(IFERROR(MATCH(I40,Data!$T$2:$T$251,0),"")="","",INDEX(Data!$D$2:$D$251,IFERROR(MATCH(I40,Data!$T$2:$T$251,0),"")))</f>
        <v>Ruth Brooks</v>
      </c>
      <c r="M40" s="15" t="str">
        <f>IF(IFERROR(MATCH(I40,Data!$T$2:$T$251,0),"")="","",INDEX(Data!$F$2:$F$251,IFERROR(MATCH(I40,Data!$T$2:$T$251,0),"")))</f>
        <v>Smartphone</v>
      </c>
      <c r="N40" s="26">
        <f>IF(IFERROR(MATCH(I40,Data!$T$2:$T$251,0),"")="","",INDEX(Data!$N$2:$N$251,IFERROR(MATCH(I40,Data!$T$2:$T$251,0),"")))</f>
        <v>699.99</v>
      </c>
    </row>
    <row r="41" spans="1:14" x14ac:dyDescent="0.3">
      <c r="A41" s="15" t="s">
        <v>270</v>
      </c>
      <c r="B41" s="15"/>
      <c r="C41" s="15" t="str">
        <f t="shared" si="0"/>
        <v>Sandra Phillips</v>
      </c>
      <c r="D41" s="15" t="str">
        <f t="shared" si="1"/>
        <v>SP</v>
      </c>
      <c r="E41" s="1"/>
      <c r="F41" s="1"/>
      <c r="G41" s="1"/>
      <c r="H41" s="1"/>
      <c r="I41" s="50">
        <v>31</v>
      </c>
      <c r="J41" s="15" t="str">
        <f>IF(IFERROR(MATCH(I41,Data!$T$2:$T$251,0),"")="","",INDEX(Data!$A$2:$A$251,IFERROR(MATCH(I41,Data!$T$2:$T$251,0),"")))</f>
        <v>TRX0038</v>
      </c>
      <c r="K41" s="22">
        <f>IF(IFERROR(MATCH(I41,Data!$T$2:$T$251,0),"")="","",INDEX(Data!$B$2:$B$251,IFERROR(MATCH(I41,Data!$T$2:$T$251,0),"")))</f>
        <v>45726</v>
      </c>
      <c r="L41" s="15" t="str">
        <f>IF(IFERROR(MATCH(I41,Data!$T$2:$T$251,0),"")="","",INDEX(Data!$D$2:$D$251,IFERROR(MATCH(I41,Data!$T$2:$T$251,0),"")))</f>
        <v>Harry Morgan</v>
      </c>
      <c r="M41" s="15" t="str">
        <f>IF(IFERROR(MATCH(I41,Data!$T$2:$T$251,0),"")="","",INDEX(Data!$F$2:$F$251,IFERROR(MATCH(I41,Data!$T$2:$T$251,0),"")))</f>
        <v>Monitor</v>
      </c>
      <c r="N41" s="26">
        <f>IF(IFERROR(MATCH(I41,Data!$T$2:$T$251,0),"")="","",INDEX(Data!$N$2:$N$251,IFERROR(MATCH(I41,Data!$T$2:$T$251,0),"")))</f>
        <v>249.99</v>
      </c>
    </row>
    <row r="42" spans="1:14" x14ac:dyDescent="0.3">
      <c r="A42" s="15" t="s">
        <v>190</v>
      </c>
      <c r="B42" s="15"/>
      <c r="C42" s="15" t="str">
        <f t="shared" si="0"/>
        <v>Sarah Davis</v>
      </c>
      <c r="D42" s="15" t="str">
        <f t="shared" si="1"/>
        <v>SD</v>
      </c>
      <c r="E42" s="1"/>
      <c r="F42" s="1"/>
      <c r="G42" s="1"/>
      <c r="H42" s="1"/>
      <c r="I42" s="50">
        <v>32</v>
      </c>
      <c r="J42" s="15" t="str">
        <f>IF(IFERROR(MATCH(I42,Data!$T$2:$T$251,0),"")="","",INDEX(Data!$A$2:$A$251,IFERROR(MATCH(I42,Data!$T$2:$T$251,0),"")))</f>
        <v>TRX0013</v>
      </c>
      <c r="K42" s="22">
        <f>IF(IFERROR(MATCH(I42,Data!$T$2:$T$251,0),"")="","",INDEX(Data!$B$2:$B$251,IFERROR(MATCH(I42,Data!$T$2:$T$251,0),"")))</f>
        <v>45737</v>
      </c>
      <c r="L42" s="15" t="str">
        <f>IF(IFERROR(MATCH(I42,Data!$T$2:$T$251,0),"")="","",INDEX(Data!$D$2:$D$251,IFERROR(MATCH(I42,Data!$T$2:$T$251,0),"")))</f>
        <v>Dorothy Nelson</v>
      </c>
      <c r="M42" s="15" t="str">
        <f>IF(IFERROR(MATCH(I42,Data!$T$2:$T$251,0),"")="","",INDEX(Data!$F$2:$F$251,IFERROR(MATCH(I42,Data!$T$2:$T$251,0),"")))</f>
        <v>Laptop</v>
      </c>
      <c r="N42" s="26">
        <f>IF(IFERROR(MATCH(I42,Data!$T$2:$T$251,0),"")="","",INDEX(Data!$N$2:$N$251,IFERROR(MATCH(I42,Data!$T$2:$T$251,0),"")))</f>
        <v>2699.9700000000003</v>
      </c>
    </row>
    <row r="43" spans="1:14" x14ac:dyDescent="0.3">
      <c r="A43" s="15" t="s">
        <v>187</v>
      </c>
      <c r="B43" s="15"/>
      <c r="C43" s="15" t="str">
        <f t="shared" si="0"/>
        <v/>
      </c>
      <c r="D43" s="15" t="str">
        <f t="shared" si="1"/>
        <v/>
      </c>
      <c r="E43" s="1"/>
      <c r="F43" s="1"/>
      <c r="G43" s="1"/>
      <c r="H43" s="1"/>
      <c r="I43" s="50">
        <v>33</v>
      </c>
      <c r="J43" s="15" t="str">
        <f>IF(IFERROR(MATCH(I43,Data!$T$2:$T$251,0),"")="","",INDEX(Data!$A$2:$A$251,IFERROR(MATCH(I43,Data!$T$2:$T$251,0),"")))</f>
        <v>TRX0124</v>
      </c>
      <c r="K43" s="22">
        <f>IF(IFERROR(MATCH(I43,Data!$T$2:$T$251,0),"")="","",INDEX(Data!$B$2:$B$251,IFERROR(MATCH(I43,Data!$T$2:$T$251,0),"")))</f>
        <v>45737</v>
      </c>
      <c r="L43" s="15" t="str">
        <f>IF(IFERROR(MATCH(I43,Data!$T$2:$T$251,0),"")="","",INDEX(Data!$D$2:$D$251,IFERROR(MATCH(I43,Data!$T$2:$T$251,0),"")))</f>
        <v>Sharon Butler</v>
      </c>
      <c r="M43" s="15" t="str">
        <f>IF(IFERROR(MATCH(I43,Data!$T$2:$T$251,0),"")="","",INDEX(Data!$F$2:$F$251,IFERROR(MATCH(I43,Data!$T$2:$T$251,0),"")))</f>
        <v>Laptop</v>
      </c>
      <c r="N43" s="26">
        <f>IF(IFERROR(MATCH(I43,Data!$T$2:$T$251,0),"")="","",INDEX(Data!$N$2:$N$251,IFERROR(MATCH(I43,Data!$T$2:$T$251,0),"")))</f>
        <v>2699.9700000000003</v>
      </c>
    </row>
    <row r="44" spans="1:14" x14ac:dyDescent="0.3">
      <c r="A44" s="15" t="s">
        <v>174</v>
      </c>
      <c r="B44" s="15"/>
      <c r="C44" s="15" t="str">
        <f t="shared" si="0"/>
        <v>Steven Turner</v>
      </c>
      <c r="D44" s="15" t="str">
        <f t="shared" si="1"/>
        <v>ST</v>
      </c>
      <c r="E44" s="1"/>
      <c r="F44" s="1"/>
      <c r="G44" s="1"/>
      <c r="H44" s="1"/>
      <c r="I44" s="50">
        <v>34</v>
      </c>
      <c r="J44" s="15" t="str">
        <f>IF(IFERROR(MATCH(I44,Data!$T$2:$T$251,0),"")="","",INDEX(Data!$A$2:$A$251,IFERROR(MATCH(I44,Data!$T$2:$T$251,0),"")))</f>
        <v>TRX0068</v>
      </c>
      <c r="K44" s="22">
        <f>IF(IFERROR(MATCH(I44,Data!$T$2:$T$251,0),"")="","",INDEX(Data!$B$2:$B$251,IFERROR(MATCH(I44,Data!$T$2:$T$251,0),"")))</f>
        <v>45748</v>
      </c>
      <c r="L44" s="15" t="str">
        <f>IF(IFERROR(MATCH(I44,Data!$T$2:$T$251,0),"")="","",INDEX(Data!$D$2:$D$251,IFERROR(MATCH(I44,Data!$T$2:$T$251,0),"")))</f>
        <v>Cynthia Price</v>
      </c>
      <c r="M44" s="15" t="str">
        <f>IF(IFERROR(MATCH(I44,Data!$T$2:$T$251,0),"")="","",INDEX(Data!$F$2:$F$251,IFERROR(MATCH(I44,Data!$T$2:$T$251,0),"")))</f>
        <v>Smartphone</v>
      </c>
      <c r="N44" s="26">
        <f>IF(IFERROR(MATCH(I44,Data!$T$2:$T$251,0),"")="","",INDEX(Data!$N$2:$N$251,IFERROR(MATCH(I44,Data!$T$2:$T$251,0),"")))</f>
        <v>1399.98</v>
      </c>
    </row>
    <row r="45" spans="1:14" x14ac:dyDescent="0.3">
      <c r="A45" s="15" t="s">
        <v>101</v>
      </c>
      <c r="B45" s="15"/>
      <c r="C45" s="15" t="str">
        <f t="shared" si="0"/>
        <v>Susan Green</v>
      </c>
      <c r="D45" s="15" t="str">
        <f t="shared" si="1"/>
        <v>SG</v>
      </c>
      <c r="E45" s="1"/>
      <c r="F45" s="1"/>
      <c r="G45" s="1"/>
      <c r="H45" s="1"/>
      <c r="I45" s="50">
        <v>35</v>
      </c>
      <c r="J45" s="15" t="str">
        <f>IF(IFERROR(MATCH(I45,Data!$T$2:$T$251,0),"")="","",INDEX(Data!$A$2:$A$251,IFERROR(MATCH(I45,Data!$T$2:$T$251,0),"")))</f>
        <v>TRX0064</v>
      </c>
      <c r="K45" s="22">
        <f>IF(IFERROR(MATCH(I45,Data!$T$2:$T$251,0),"")="","",INDEX(Data!$B$2:$B$251,IFERROR(MATCH(I45,Data!$T$2:$T$251,0),"")))</f>
        <v>45758</v>
      </c>
      <c r="L45" s="15" t="str">
        <f>IF(IFERROR(MATCH(I45,Data!$T$2:$T$251,0),"")="","",INDEX(Data!$D$2:$D$251,IFERROR(MATCH(I45,Data!$T$2:$T$251,0),"")))</f>
        <v>Steven Turner</v>
      </c>
      <c r="M45" s="15" t="str">
        <f>IF(IFERROR(MATCH(I45,Data!$T$2:$T$251,0),"")="","",INDEX(Data!$F$2:$F$251,IFERROR(MATCH(I45,Data!$T$2:$T$251,0),"")))</f>
        <v>Keyboard</v>
      </c>
      <c r="N45" s="26">
        <f>IF(IFERROR(MATCH(I45,Data!$T$2:$T$251,0),"")="","",INDEX(Data!$N$2:$N$251,IFERROR(MATCH(I45,Data!$T$2:$T$251,0),"")))</f>
        <v>269.96999999999997</v>
      </c>
    </row>
    <row r="46" spans="1:14" x14ac:dyDescent="0.3">
      <c r="A46" s="15" t="s">
        <v>129</v>
      </c>
      <c r="B46" s="15"/>
      <c r="C46" s="15" t="str">
        <f t="shared" si="0"/>
        <v>Virginia Sanders</v>
      </c>
      <c r="D46" s="15" t="str">
        <f t="shared" si="1"/>
        <v>VS</v>
      </c>
      <c r="E46" s="1"/>
      <c r="F46" s="1"/>
      <c r="G46" s="1"/>
      <c r="H46" s="1"/>
      <c r="I46" s="50">
        <v>36</v>
      </c>
      <c r="J46" s="15" t="str">
        <f>IF(IFERROR(MATCH(I46,Data!$T$2:$T$251,0),"")="","",INDEX(Data!$A$2:$A$251,IFERROR(MATCH(I46,Data!$T$2:$T$251,0),"")))</f>
        <v>TRX0120</v>
      </c>
      <c r="K46" s="22">
        <f>IF(IFERROR(MATCH(I46,Data!$T$2:$T$251,0),"")="","",INDEX(Data!$B$2:$B$251,IFERROR(MATCH(I46,Data!$T$2:$T$251,0),"")))</f>
        <v>45758</v>
      </c>
      <c r="L46" s="15" t="str">
        <f>IF(IFERROR(MATCH(I46,Data!$T$2:$T$251,0),"")="","",INDEX(Data!$D$2:$D$251,IFERROR(MATCH(I46,Data!$T$2:$T$251,0),"")))</f>
        <v>Douglas Watson</v>
      </c>
      <c r="M46" s="15" t="str">
        <f>IF(IFERROR(MATCH(I46,Data!$T$2:$T$251,0),"")="","",INDEX(Data!$F$2:$F$251,IFERROR(MATCH(I46,Data!$T$2:$T$251,0),"")))</f>
        <v>Smartphone</v>
      </c>
      <c r="N46" s="26">
        <f>IF(IFERROR(MATCH(I46,Data!$T$2:$T$251,0),"")="","",INDEX(Data!$N$2:$N$251,IFERROR(MATCH(I46,Data!$T$2:$T$251,0),"")))</f>
        <v>2099.9700000000003</v>
      </c>
    </row>
    <row r="47" spans="1:14" x14ac:dyDescent="0.3">
      <c r="A47" s="1"/>
      <c r="B47" s="1"/>
      <c r="C47" s="1" t="str">
        <f t="shared" si="0"/>
        <v/>
      </c>
      <c r="D47" s="1" t="str">
        <f t="shared" si="1"/>
        <v/>
      </c>
      <c r="E47" s="1"/>
      <c r="F47" s="1"/>
      <c r="G47" s="1"/>
      <c r="H47" s="1"/>
      <c r="I47" s="48"/>
      <c r="J47" s="1" t="str">
        <f>IF(IFERROR(MATCH(I47,Data!$T$2:$T$251,0),"")="","",INDEX(Data!$A$2:$A$251,IFERROR(MATCH(I47,Data!$T$2:$T$251,0),"")))</f>
        <v/>
      </c>
      <c r="K47" s="7" t="str">
        <f>IF(IFERROR(MATCH(I47,Data!$T$2:$T$251,0),"")="","",INDEX(Data!$B$2:$B$251,IFERROR(MATCH(I47,Data!$T$2:$T$251,0),"")))</f>
        <v/>
      </c>
      <c r="L47" s="1" t="str">
        <f>IF(IFERROR(MATCH(I47,Data!$T$2:$T$251,0),"")="","",INDEX(Data!$D$2:$D$251,IFERROR(MATCH(I47,Data!$T$2:$T$251,0),"")))</f>
        <v/>
      </c>
      <c r="M47" s="1" t="str">
        <f>IF(IFERROR(MATCH(I47,Data!$T$2:$T$251,0),"")="","",INDEX(Data!$F$2:$F$251,IFERROR(MATCH(I47,Data!$T$2:$T$251,0),"")))</f>
        <v/>
      </c>
      <c r="N47" s="8" t="str">
        <f>IF(IFERROR(MATCH(I47,Data!$T$2:$T$251,0),"")="","",INDEX(Data!$N$2:$N$251,IFERROR(MATCH(I47,Data!$T$2:$T$251,0),"")))</f>
        <v/>
      </c>
    </row>
    <row r="48" spans="1:14" x14ac:dyDescent="0.3">
      <c r="A48" s="1"/>
      <c r="B48" s="1"/>
      <c r="C48" s="1"/>
      <c r="D48" s="1"/>
      <c r="E48" s="1"/>
      <c r="F48" s="1"/>
      <c r="G48" s="1"/>
      <c r="H48" s="1"/>
      <c r="I48" s="48"/>
      <c r="J48" s="1" t="str">
        <f>IF(IFERROR(MATCH(I48,Data!$T$2:$T$251,0),"")="","",INDEX(Data!$A$2:$A$251,IFERROR(MATCH(I48,Data!$T$2:$T$251,0),"")))</f>
        <v/>
      </c>
      <c r="K48" s="7" t="str">
        <f>IF(IFERROR(MATCH(I48,Data!$T$2:$T$251,0),"")="","",INDEX(Data!$B$2:$B$251,IFERROR(MATCH(I48,Data!$T$2:$T$251,0),"")))</f>
        <v/>
      </c>
      <c r="L48" s="1" t="str">
        <f>IF(IFERROR(MATCH(I48,Data!$T$2:$T$251,0),"")="","",INDEX(Data!$D$2:$D$251,IFERROR(MATCH(I48,Data!$T$2:$T$251,0),"")))</f>
        <v/>
      </c>
      <c r="M48" s="1" t="str">
        <f>IF(IFERROR(MATCH(I48,Data!$T$2:$T$251,0),"")="","",INDEX(Data!$F$2:$F$251,IFERROR(MATCH(I48,Data!$T$2:$T$251,0),"")))</f>
        <v/>
      </c>
      <c r="N48" s="8" t="str">
        <f>IF(IFERROR(MATCH(I48,Data!$T$2:$T$251,0),"")="","",INDEX(Data!$N$2:$N$251,IFERROR(MATCH(I48,Data!$T$2:$T$251,0),"")))</f>
        <v/>
      </c>
    </row>
    <row r="49" spans="1:14" x14ac:dyDescent="0.3">
      <c r="A49" s="1"/>
      <c r="B49" s="1"/>
      <c r="C49" s="1"/>
      <c r="D49" s="1"/>
      <c r="E49" s="1"/>
      <c r="F49" s="1"/>
      <c r="G49" s="1"/>
      <c r="H49" s="1"/>
      <c r="I49" s="48"/>
      <c r="J49" s="1" t="str">
        <f>IF(IFERROR(MATCH(I49,Data!$T$2:$T$251,0),"")="","",INDEX(Data!$A$2:$A$251,IFERROR(MATCH(I49,Data!$T$2:$T$251,0),"")))</f>
        <v/>
      </c>
      <c r="K49" s="7" t="str">
        <f>IF(IFERROR(MATCH(I49,Data!$T$2:$T$251,0),"")="","",INDEX(Data!$B$2:$B$251,IFERROR(MATCH(I49,Data!$T$2:$T$251,0),"")))</f>
        <v/>
      </c>
      <c r="L49" s="1" t="str">
        <f>IF(IFERROR(MATCH(I49,Data!$T$2:$T$251,0),"")="","",INDEX(Data!$D$2:$D$251,IFERROR(MATCH(I49,Data!$T$2:$T$251,0),"")))</f>
        <v/>
      </c>
      <c r="M49" s="1" t="str">
        <f>IF(IFERROR(MATCH(I49,Data!$T$2:$T$251,0),"")="","",INDEX(Data!$F$2:$F$251,IFERROR(MATCH(I49,Data!$T$2:$T$251,0),"")))</f>
        <v/>
      </c>
      <c r="N49" s="8" t="str">
        <f>IF(IFERROR(MATCH(I49,Data!$T$2:$T$251,0),"")="","",INDEX(Data!$N$2:$N$251,IFERROR(MATCH(I49,Data!$T$2:$T$251,0),"")))</f>
        <v/>
      </c>
    </row>
    <row r="50" spans="1:14" x14ac:dyDescent="0.3">
      <c r="A50" s="1"/>
      <c r="B50" s="1"/>
      <c r="C50" s="1"/>
      <c r="D50" s="1"/>
      <c r="E50" s="1"/>
      <c r="F50" s="1"/>
      <c r="G50" s="1"/>
      <c r="H50" s="1"/>
      <c r="I50" s="48"/>
      <c r="J50" s="1" t="str">
        <f>IF(IFERROR(MATCH(I50,Data!$T$2:$T$251,0),"")="","",INDEX(Data!$A$2:$A$251,IFERROR(MATCH(I50,Data!$T$2:$T$251,0),"")))</f>
        <v/>
      </c>
      <c r="K50" s="7" t="str">
        <f>IF(IFERROR(MATCH(I50,Data!$T$2:$T$251,0),"")="","",INDEX(Data!$B$2:$B$251,IFERROR(MATCH(I50,Data!$T$2:$T$251,0),"")))</f>
        <v/>
      </c>
      <c r="L50" s="1" t="str">
        <f>IF(IFERROR(MATCH(I50,Data!$T$2:$T$251,0),"")="","",INDEX(Data!$D$2:$D$251,IFERROR(MATCH(I50,Data!$T$2:$T$251,0),"")))</f>
        <v/>
      </c>
      <c r="M50" s="1" t="str">
        <f>IF(IFERROR(MATCH(I50,Data!$T$2:$T$251,0),"")="","",INDEX(Data!$F$2:$F$251,IFERROR(MATCH(I50,Data!$T$2:$T$251,0),"")))</f>
        <v/>
      </c>
      <c r="N50" s="8" t="str">
        <f>IF(IFERROR(MATCH(I50,Data!$T$2:$T$251,0),"")="","",INDEX(Data!$N$2:$N$251,IFERROR(MATCH(I50,Data!$T$2:$T$251,0),"")))</f>
        <v/>
      </c>
    </row>
  </sheetData>
  <mergeCells count="1">
    <mergeCell ref="A1:D1"/>
  </mergeCells>
  <dataValidations count="2">
    <dataValidation type="list" sqref="J4" xr:uid="{00000000-0002-0000-0900-000000000000}">
      <formula1>"North,South,East,West,Central"</formula1>
      <formula2>0</formula2>
    </dataValidation>
    <dataValidation type="list" sqref="J5" xr:uid="{00000000-0002-0000-0900-000001000000}">
      <formula1>"Electronics,Furniture,Appliances"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Normal="100" workbookViewId="0">
      <selection activeCell="A3" sqref="A3"/>
    </sheetView>
  </sheetViews>
  <sheetFormatPr defaultColWidth="8.6640625" defaultRowHeight="14.4" x14ac:dyDescent="0.3"/>
  <cols>
    <col min="1" max="1" width="120" customWidth="1"/>
  </cols>
  <sheetData>
    <row r="1" spans="1:1" ht="21" x14ac:dyDescent="0.4">
      <c r="A1" s="37" t="s">
        <v>19</v>
      </c>
    </row>
    <row r="2" spans="1:1" x14ac:dyDescent="0.3">
      <c r="A2" s="1"/>
    </row>
    <row r="3" spans="1:1" x14ac:dyDescent="0.3">
      <c r="A3" s="38" t="s">
        <v>20</v>
      </c>
    </row>
    <row r="4" spans="1:1" ht="48" customHeight="1" x14ac:dyDescent="0.3">
      <c r="A4" s="39" t="str">
        <f>"Across "&amp;TEXT(Dashboard!B5,"0")&amp;" orders from "&amp;Dashboard!B8&amp;" customers, revenue totals "&amp;TEXT(Dashboard!B4,"#,##0")&amp;", with an average order of "&amp;TEXT(Dashboard!B7,"#,##0")&amp;"."</f>
        <v>Across 250 orders from 50 customers, revenue totals 229,192, with an average order of 917.</v>
      </c>
    </row>
    <row r="5" spans="1:1" x14ac:dyDescent="0.3">
      <c r="A5" s="15"/>
    </row>
    <row r="6" spans="1:1" x14ac:dyDescent="0.3">
      <c r="A6" s="38" t="s">
        <v>21</v>
      </c>
    </row>
    <row r="7" spans="1:1" ht="48" customHeight="1" x14ac:dyDescent="0.3">
      <c r="A7" s="39" t="str">
        <f>"Electronics drive "&amp;TEXT(Analysis!D21,"0%")&amp;" of revenue ("&amp;TEXT(Analysis!C21,"#,##0")&amp;"). The top revenue product is "&amp;Analysis!E17&amp;", while the most frequently ordered product is "&amp;Analysis!E15&amp;" ("&amp;Analysis!G15&amp;" orders)."</f>
        <v>Electronics drive 75% of revenue (171,756). The top revenue product is Laptop, while the most frequently ordered product is Bookshelf (35 orders).</v>
      </c>
    </row>
    <row r="8" spans="1:1" x14ac:dyDescent="0.3">
      <c r="A8" s="15"/>
    </row>
    <row r="9" spans="1:1" x14ac:dyDescent="0.3">
      <c r="A9" s="38" t="s">
        <v>22</v>
      </c>
    </row>
    <row r="10" spans="1:1" ht="48" customHeight="1" x14ac:dyDescent="0.3">
      <c r="A10" s="39" t="str">
        <f>"The top customer is "&amp;Customers!S6&amp;" ("&amp;TEXT(Customers!T6,"#,##0")&amp;"). "&amp;Customers!D58&amp;" high-value customers (top "&amp;TEXT(1-Customers!D3,"0%")&amp;") generate "&amp;TEXT(Customers!D59,"0%")&amp;" of revenue. The most frequent buyer is "&amp;Customers!D57&amp;" with "&amp;Customers!F57&amp;" orders."</f>
        <v>The top customer is Mark Carter (15,660). 10 high-value customers (top 20%) generate 41% of revenue. The most frequent buyer is Mark Carter with 12 orders.</v>
      </c>
    </row>
    <row r="11" spans="1:1" x14ac:dyDescent="0.3">
      <c r="A11" s="15"/>
    </row>
    <row r="12" spans="1:1" x14ac:dyDescent="0.3">
      <c r="A12" s="38" t="s">
        <v>23</v>
      </c>
    </row>
    <row r="13" spans="1:1" ht="48" customHeight="1" x14ac:dyDescent="0.3">
      <c r="A13" s="39" t="str">
        <f>Customers!D60&amp;" customers have bought from both Electronics and Furniture - a ready audience for bundle offers (see Lists_Filter)."</f>
        <v>34 customers have bought from both Electronics and Furniture - a ready audience for bundle offers (see Lists_Filter).</v>
      </c>
    </row>
    <row r="14" spans="1:1" x14ac:dyDescent="0.3">
      <c r="A14" s="15"/>
    </row>
    <row r="15" spans="1:1" x14ac:dyDescent="0.3">
      <c r="A15" s="38" t="s">
        <v>24</v>
      </c>
    </row>
    <row r="16" spans="1:1" ht="48" customHeight="1" x14ac:dyDescent="0.3">
      <c r="A16" s="39" t="str">
        <f>"The strongest region is "&amp;Dashboard!G8&amp;". Payment mix: Credit Card "&amp;TEXT(Analysis!D36,"0%")&amp;", Cash "&amp;TEXT(Analysis!D35,"0%")&amp;", Debit "&amp;TEXT(Analysis!D37,"0%")&amp;", PayPal "&amp;TEXT(Analysis!D38,"0%")&amp;"."</f>
        <v>The strongest region is East. Payment mix: Credit Card 27%, Cash 25%, Debit 23%, PayPal 25%.</v>
      </c>
    </row>
    <row r="17" spans="1:1" x14ac:dyDescent="0.3">
      <c r="A17" s="15"/>
    </row>
    <row r="18" spans="1:1" x14ac:dyDescent="0.3">
      <c r="A18" s="38" t="s">
        <v>25</v>
      </c>
    </row>
    <row r="19" spans="1:1" ht="48" customHeight="1" x14ac:dyDescent="0.3">
      <c r="A19" s="39" t="str">
        <f>"Peak month: "&amp;Dashboard!G9&amp;". Regression slope is "&amp;TEXT(Monthly_Trend!B20,"#,##0")&amp;" per month with R-squared "&amp;TEXT(Monthly_Trend!B22,"0.00")&amp;" - "&amp;LOWER(Monthly_Trend!B24)&amp;"."</f>
        <v>Peak month: Jan 2025. Regression slope is 338 per month with R-squared 0.08 - weak trend - revenue is mostly seasonal/noisy.</v>
      </c>
    </row>
    <row r="20" spans="1:1" x14ac:dyDescent="0.3">
      <c r="A20" s="15"/>
    </row>
    <row r="21" spans="1:1" x14ac:dyDescent="0.3">
      <c r="A21" s="38" t="s">
        <v>26</v>
      </c>
    </row>
    <row r="22" spans="1:1" ht="48" customHeight="1" x14ac:dyDescent="0.3">
      <c r="A22" s="39" t="str">
        <f>"A "&amp;TEXT(WhatIf!B16,"0.0%")&amp;" price change (volume and discount held at the WhatIf inputs) would reach the "&amp;TEXT(WhatIf!B14,"#,##0")&amp;" target. Optimistic scenario: "&amp;TEXT(WhatIf!E21,"#,##0")&amp;"; pessimistic: "&amp;TEXT(WhatIf!E22,"#,##0")&amp;"."</f>
        <v>A 9.1% price change (volume and discount held at the WhatIf inputs) would reach the 250,000 target. Optimistic scenario: 264,717; pessimistic: 195,960.</v>
      </c>
    </row>
    <row r="23" spans="1:1" x14ac:dyDescent="0.3">
      <c r="A23" s="15"/>
    </row>
    <row r="24" spans="1:1" x14ac:dyDescent="0.3">
      <c r="A24" s="38" t="s">
        <v>27</v>
      </c>
    </row>
    <row r="25" spans="1:1" ht="48" customHeight="1" x14ac:dyDescent="0.3">
      <c r="A25" s="39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Customers</vt:lpstr>
      <vt:lpstr>Timestamp</vt:lpstr>
      <vt:lpstr>Analysis</vt:lpstr>
      <vt:lpstr>Monthly_Trend</vt:lpstr>
      <vt:lpstr>WhatIf</vt:lpstr>
      <vt:lpstr>Dashboard</vt:lpstr>
      <vt:lpstr>Lists_Filter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2026-10-29T07:04:55Z</dcterms:created>
  <dcterms:modified xsi:type="dcterms:W3CDTF">2026-10-30T15:58:24Z</dcterms:modified>
  <dc:language>en-US</dc:language>
</cp:coreProperties>
</file>